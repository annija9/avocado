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luse4\Downloads\10dat2023\Excel2022\"/>
    </mc:Choice>
  </mc:AlternateContent>
  <xr:revisionPtr revIDLastSave="0" documentId="13_ncr:1_{73E09478-56E0-4213-A1F6-EA119ED3967D}" xr6:coauthVersionLast="47" xr6:coauthVersionMax="47" xr10:uidLastSave="{00000000-0000-0000-0000-000000000000}"/>
  <bookViews>
    <workbookView xWindow="2835" yWindow="0" windowWidth="25605" windowHeight="15315" xr2:uid="{00000000-000D-0000-FFFF-FFFF00000000}"/>
  </bookViews>
  <sheets>
    <sheet name="Imports" sheetId="3" r:id="rId1"/>
    <sheet name="Pivot" sheetId="12" r:id="rId2"/>
    <sheet name="Uzdevumi1" sheetId="14" r:id="rId3"/>
    <sheet name="Uzdevumi2" sheetId="15" r:id="rId4"/>
    <sheet name="Korelācija" sheetId="18" r:id="rId5"/>
    <sheet name="Augstskolas" sheetId="22" r:id="rId6"/>
    <sheet name="Uzdevumi3" sheetId="17" r:id="rId7"/>
  </sheets>
  <externalReferences>
    <externalReference r:id="rId8"/>
  </externalReferences>
  <definedNames>
    <definedName name="_xlnm._FilterDatabase" localSheetId="5" hidden="1">Augstskolas!$A$1:$P$363</definedName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8" l="1" a="1"/>
  <c r="E14" i="1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E2A0F1-E571-40EE-A848-21255D84795D}" keepAlive="1" name="Query - 202010311659_CaisVirsnot" description="Connection to the '202010311659_CaisVirsnot' query in the workbook." type="5" refreshedVersion="6" background="1">
    <dbPr connection="Provider=Microsoft.Mashup.OleDb.1;Data Source=$Workbook$;Location=202010311659_CaisVirsnot;Extended Properties=&quot;&quot;" command="SELECT * FROM [202010311659_CaisVirsnot]"/>
  </connection>
  <connection id="2" xr16:uid="{CAAB6CCE-18A8-4D77-9D62-67B48002AB19}" keepAlive="1" name="Query - Nutrition__Physical_Activity__and_Obesity_-_Behavioral_Risk_Factor_Surveillance_" description="Connection to the 'Nutrition__Physical_Activity__and_Obesity_-_Behavioral_Risk_Factor_Surveillance_' query in the workbook." type="5" refreshedVersion="0" background="1">
    <dbPr connection="Provider=Microsoft.Mashup.OleDb.1;Data Source=$Workbook$;Location=Nutrition__Physical_Activity__and_Obesity_-_Behavioral_Risk_Factor_Surveillance_;Extended Properties=&quot;&quot;" command="SELECT * FROM [Nutrition__Physical_Activity__and_Obesity_-_Behavioral_Risk_Factor_Surveillance_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<sst xmlns="http://schemas.openxmlformats.org/spreadsheetml/2006/main" count="512" uniqueCount="189">
  <si>
    <t>1. vingrinājums</t>
  </si>
  <si>
    <t>Datu imports</t>
  </si>
  <si>
    <t>Rīga</t>
  </si>
  <si>
    <t>Rīga, Krasta iela 46</t>
  </si>
  <si>
    <t>Rīga, Brīvības gatve 372</t>
  </si>
  <si>
    <t>Rīga, Lielirbes iela 29</t>
  </si>
  <si>
    <t xml:space="preserve">Rīga, Juglas iela </t>
  </si>
  <si>
    <t>Rīga, Krasta iela 36</t>
  </si>
  <si>
    <t>Rīga, Mūkusalas iela 71</t>
  </si>
  <si>
    <t xml:space="preserve">Rīga, Kārļa Ulmaņa gatve </t>
  </si>
  <si>
    <t>Rīga, Maskavas iela 257</t>
  </si>
  <si>
    <t xml:space="preserve">Rīga, Brīvības gatve </t>
  </si>
  <si>
    <t>pdf datnes;</t>
  </si>
  <si>
    <t>Access, SQL, Oracle un citas datu bāzes</t>
  </si>
  <si>
    <t>mākoņservisu piedāvātie dati.</t>
  </si>
  <si>
    <t>Apstrādei ar MsExcel var importēt datus, kas nav xls vai xlsx formātā. Iespējamie datu avoti ir:</t>
  </si>
  <si>
    <t>teksta faili, kurās dati formatēti CSV, JSON vai XML formātā;</t>
  </si>
  <si>
    <r>
      <t xml:space="preserve">Bieži vien </t>
    </r>
    <r>
      <rPr>
        <b/>
        <sz val="12"/>
        <color theme="1"/>
        <rFont val="Calibri"/>
        <family val="2"/>
        <scheme val="minor"/>
      </rPr>
      <t>csv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xml</t>
    </r>
    <r>
      <rPr>
        <sz val="12"/>
        <color theme="1"/>
        <rFont val="Calibri"/>
        <family val="2"/>
        <charset val="186"/>
        <scheme val="minor"/>
      </rPr>
      <t xml:space="preserve"> datnes automātiski atveras ar MsExcel lietoni.</t>
    </r>
  </si>
  <si>
    <r>
      <rPr>
        <b/>
        <sz val="12"/>
        <color theme="1"/>
        <rFont val="Calibri"/>
        <family val="2"/>
        <scheme val="minor"/>
      </rPr>
      <t>Open</t>
    </r>
    <r>
      <rPr>
        <sz val="12"/>
        <color theme="1"/>
        <rFont val="Calibri"/>
        <family val="2"/>
        <scheme val="minor"/>
      </rPr>
      <t xml:space="preserve"> logā jānorāda, lai piedāvā visus datņu tipus, ne tika xls. Atvēršanas laikā parādās dialologs, kurā jāizvēlas datu atdalītājs.</t>
    </r>
  </si>
  <si>
    <t>Ja tā nenotiek, jāizvēlas viens no diviem citiem veidiem:</t>
  </si>
  <si>
    <r>
      <t xml:space="preserve">Dialoglogā var mainīt datu atdalījumu vai kodējumu. Ja viss kārtībā, jāspiež </t>
    </r>
    <r>
      <rPr>
        <b/>
        <sz val="12"/>
        <color theme="1"/>
        <rFont val="Calibri"/>
        <family val="2"/>
        <scheme val="minor"/>
      </rPr>
      <t>Load</t>
    </r>
    <r>
      <rPr>
        <sz val="12"/>
        <color theme="1"/>
        <rFont val="Calibri"/>
        <family val="2"/>
        <charset val="186"/>
        <scheme val="minor"/>
      </rPr>
      <t xml:space="preserve"> poga.</t>
    </r>
  </si>
  <si>
    <r>
      <rPr>
        <b/>
        <sz val="12"/>
        <color theme="1"/>
        <rFont val="Calibri"/>
        <family val="2"/>
        <scheme val="minor"/>
      </rPr>
      <t>1)</t>
    </r>
    <r>
      <rPr>
        <sz val="12"/>
        <color theme="1"/>
        <rFont val="Calibri"/>
        <family val="2"/>
        <charset val="186"/>
        <scheme val="minor"/>
      </rPr>
      <t xml:space="preserve"> Teksta datnes var importēt, izpildot darbību </t>
    </r>
    <r>
      <rPr>
        <b/>
        <sz val="12"/>
        <color theme="1"/>
        <rFont val="Calibri"/>
        <family val="2"/>
        <scheme val="minor"/>
      </rPr>
      <t>File - Open</t>
    </r>
    <r>
      <rPr>
        <sz val="12"/>
        <color theme="1"/>
        <rFont val="Calibri"/>
        <family val="2"/>
        <charset val="186"/>
        <scheme val="minor"/>
      </rPr>
      <t>.</t>
    </r>
  </si>
  <si>
    <r>
      <rPr>
        <b/>
        <sz val="12"/>
        <color theme="1"/>
        <rFont val="Calibri"/>
        <family val="2"/>
        <scheme val="minor"/>
      </rPr>
      <t>2)</t>
    </r>
    <r>
      <rPr>
        <sz val="12"/>
        <color theme="1"/>
        <rFont val="Calibri"/>
        <family val="2"/>
        <charset val="186"/>
        <scheme val="minor"/>
      </rPr>
      <t xml:space="preserve"> var izmantot rīkus paneli </t>
    </r>
    <r>
      <rPr>
        <b/>
        <sz val="12"/>
        <color theme="1"/>
        <rFont val="Calibri"/>
        <family val="2"/>
        <scheme val="minor"/>
      </rPr>
      <t xml:space="preserve">Data - </t>
    </r>
    <r>
      <rPr>
        <sz val="12"/>
        <color theme="1"/>
        <rFont val="Calibri"/>
        <family val="2"/>
        <scheme val="minor"/>
      </rPr>
      <t>pogas</t>
    </r>
    <r>
      <rPr>
        <b/>
        <sz val="12"/>
        <color theme="1"/>
        <rFont val="Calibri"/>
        <family val="2"/>
        <scheme val="minor"/>
      </rPr>
      <t xml:space="preserve"> From Text/CSV </t>
    </r>
    <r>
      <rPr>
        <sz val="12"/>
        <color theme="1"/>
        <rFont val="Calibri"/>
        <family val="2"/>
        <scheme val="minor"/>
      </rPr>
      <t>vai</t>
    </r>
    <r>
      <rPr>
        <b/>
        <sz val="12"/>
        <color theme="1"/>
        <rFont val="Calibri"/>
        <family val="2"/>
        <scheme val="minor"/>
      </rPr>
      <t xml:space="preserve"> GetData - From Text/CSV</t>
    </r>
  </si>
  <si>
    <r>
      <t>Importēt MsExcel programmā datus no ..</t>
    </r>
    <r>
      <rPr>
        <b/>
        <sz val="12"/>
        <color theme="1"/>
        <rFont val="Calibri"/>
        <family val="2"/>
        <scheme val="minor"/>
      </rPr>
      <t>Dalibnieki.csv</t>
    </r>
  </si>
  <si>
    <t>https://support.microsoft.com/lv-lv/office/rakurstabulas-izveide-darblapas-datu-analiz%C4%93%C5%A1anai-a9a84538-bfe9-40a9-a8e9-f99134456576</t>
  </si>
  <si>
    <t>Pivot Table - rakurstabulas jeb datu kopsavilkuma tabulas</t>
  </si>
  <si>
    <t>Ja veiksmīgi ir izpildīts iepriekšējais uzdevums, MsExcel ir atvēris datus par ceļu satikmes negadījumu dalībniekiem.</t>
  </si>
  <si>
    <t>Mūsu mērķis ir noskaidrot, kura vecuma vadītāji visvairāk ir iesaistīti negadījumos.</t>
  </si>
  <si>
    <t>Tā kā tabula satur vairāk kā 8000 rindu, šādu darbu negribas veikt manuāli</t>
  </si>
  <si>
    <r>
      <t xml:space="preserve">Interesējošo informāciju ērti var iegūt, izmantojot  </t>
    </r>
    <r>
      <rPr>
        <b/>
        <sz val="12"/>
        <color theme="1"/>
        <rFont val="Calibri"/>
        <family val="2"/>
        <scheme val="minor"/>
      </rPr>
      <t>Insert</t>
    </r>
    <r>
      <rPr>
        <sz val="12"/>
        <color theme="1"/>
        <rFont val="Calibri"/>
        <family val="2"/>
        <charset val="186"/>
        <scheme val="minor"/>
      </rPr>
      <t xml:space="preserve"> paneļa rīku </t>
    </r>
    <r>
      <rPr>
        <b/>
        <sz val="12"/>
        <color theme="1"/>
        <rFont val="Calibri"/>
        <family val="2"/>
        <scheme val="minor"/>
      </rPr>
      <t>Pivot Table</t>
    </r>
  </si>
  <si>
    <r>
      <t xml:space="preserve">Lai saktu lietot rīku </t>
    </r>
    <r>
      <rPr>
        <b/>
        <sz val="12"/>
        <color theme="1"/>
        <rFont val="Calibri"/>
        <family val="2"/>
        <scheme val="minor"/>
      </rPr>
      <t>Pivot Table</t>
    </r>
    <r>
      <rPr>
        <sz val="12"/>
        <color theme="1"/>
        <rFont val="Calibri"/>
        <family val="2"/>
        <scheme val="minor"/>
      </rPr>
      <t>, kursoram jāatrodas kādā no dotās tabulas šūnām.</t>
    </r>
  </si>
  <si>
    <t>Tā princips ir piedāvāt mums kaut ko līdzīgu konstruktoram, kas ļautu uzbūvēt jaunu tabulu no dotās tabulas datiem.</t>
  </si>
  <si>
    <t>Uzklikšķinot uz rīka, atveras dialoglogs, kurā jāpievērš uzmanība vai dators pareizi noteicis tabulas robežas.</t>
  </si>
  <si>
    <r>
      <t xml:space="preserve">Ja robežas pareizas, spiežam </t>
    </r>
    <r>
      <rPr>
        <b/>
        <sz val="12"/>
        <color theme="1"/>
        <rFont val="Calibri"/>
        <family val="2"/>
        <scheme val="minor"/>
      </rPr>
      <t>OK</t>
    </r>
  </si>
  <si>
    <t>Atveras jauna darba lapa. Tās kreisajā pusē "konstruktora pamatne", labajā "klucīši"</t>
  </si>
  <si>
    <t>"Klucīši" ir datu kolonnu nosaukumi, tos var atķeksēt un izmantot kā jaunās tabulas rindas, kolonnas vai vērtības.</t>
  </si>
  <si>
    <t>Ja mums tas neder, varam tos pārvilkt uz citu sadaļu vai ielikt divās vietās.</t>
  </si>
  <si>
    <r>
      <t xml:space="preserve">Statusa ailē ir teksts, tāpēc var tikai saskaitīt, cik bieži pieminēts vārds </t>
    </r>
    <r>
      <rPr>
        <b/>
        <sz val="12"/>
        <color theme="1"/>
        <rFont val="Calibri"/>
        <family val="2"/>
        <scheme val="minor"/>
      </rPr>
      <t>Gājējs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Vadītājs</t>
    </r>
  </si>
  <si>
    <r>
      <t xml:space="preserve">Izmantot </t>
    </r>
    <r>
      <rPr>
        <b/>
        <sz val="12"/>
        <color theme="1"/>
        <rFont val="Calibri"/>
        <family val="2"/>
        <scheme val="minor"/>
      </rPr>
      <t>Pivot Table</t>
    </r>
    <r>
      <rPr>
        <sz val="12"/>
        <color theme="1"/>
        <rFont val="Calibri"/>
        <family val="2"/>
        <charset val="186"/>
        <scheme val="minor"/>
      </rPr>
      <t xml:space="preserve"> rīku, lai iegūtu attēlā redzamo rakurstabulu</t>
    </r>
  </si>
  <si>
    <r>
      <t xml:space="preserve">Iegūtajā rakurstabulā pielietot filtru tabulas rindām, atstājot tikai rindas ar statusu </t>
    </r>
    <r>
      <rPr>
        <b/>
        <sz val="12"/>
        <color theme="1"/>
        <rFont val="Calibri"/>
        <family val="2"/>
        <scheme val="minor"/>
      </rPr>
      <t>Vadītājs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Velosipēda vadītājs</t>
    </r>
  </si>
  <si>
    <r>
      <t xml:space="preserve">Izmantot lauku </t>
    </r>
    <r>
      <rPr>
        <b/>
        <sz val="12"/>
        <color theme="1"/>
        <rFont val="Calibri"/>
        <family val="2"/>
        <scheme val="minor"/>
      </rPr>
      <t>Vecums (uz notikuma brīdi)</t>
    </r>
    <r>
      <rPr>
        <sz val="12"/>
        <color theme="1"/>
        <rFont val="Calibri"/>
        <family val="2"/>
        <charset val="186"/>
        <scheme val="minor"/>
      </rPr>
      <t xml:space="preserve"> kā kolonnu virsrakstus, lai iegūtu attēlā redzamās izmaiņas</t>
    </r>
  </si>
  <si>
    <r>
      <t xml:space="preserve">To var izdarīt, klikšķinot uz slēdzīša pie </t>
    </r>
    <r>
      <rPr>
        <b/>
        <sz val="12"/>
        <color theme="1"/>
        <rFont val="Calibri"/>
        <family val="2"/>
        <scheme val="minor"/>
      </rPr>
      <t>Row Labels</t>
    </r>
  </si>
  <si>
    <t>Izveidot rakurstabulu un noskadrot, kurās Rīgas vietās ir bijis visvairāk ceļu satiksmes negadījumu</t>
  </si>
  <si>
    <r>
      <t>Importēt datus no ..</t>
    </r>
    <r>
      <rPr>
        <b/>
        <sz val="12"/>
        <color theme="1"/>
        <rFont val="Calibri"/>
        <family val="2"/>
        <scheme val="minor"/>
      </rPr>
      <t>_CaisVirsnot.csv</t>
    </r>
  </si>
  <si>
    <r>
      <t xml:space="preserve">Pieliekot ķeksi, dators automātiski ieliek datus kādā no daļām </t>
    </r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, </t>
    </r>
    <r>
      <rPr>
        <i/>
        <sz val="12"/>
        <color theme="1"/>
        <rFont val="Calibri"/>
        <family val="2"/>
        <charset val="186"/>
        <scheme val="minor"/>
      </rPr>
      <t>Columns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i/>
        <sz val="12"/>
        <color theme="1"/>
        <rFont val="Calibri"/>
        <family val="2"/>
        <charset val="186"/>
        <scheme val="minor"/>
      </rPr>
      <t>Value</t>
    </r>
    <r>
      <rPr>
        <sz val="12"/>
        <color theme="1"/>
        <rFont val="Calibri"/>
        <family val="2"/>
        <charset val="186"/>
        <scheme val="minor"/>
      </rPr>
      <t xml:space="preserve">. </t>
    </r>
  </si>
  <si>
    <r>
      <t xml:space="preserve">Attēlā ir redzams, ka dati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ir ievilkti pie </t>
    </r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 un </t>
    </r>
    <r>
      <rPr>
        <i/>
        <sz val="12"/>
        <rFont val="Calibri"/>
        <family val="2"/>
        <charset val="186"/>
        <scheme val="minor"/>
      </rPr>
      <t>Value</t>
    </r>
  </si>
  <si>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 sadaļa nosaka, ka jaunās tabulas rindas veidos tikai unikālās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vērtības.</t>
    </r>
  </si>
  <si>
    <r>
      <rPr>
        <i/>
        <sz val="12"/>
        <color theme="1"/>
        <rFont val="Calibri"/>
        <family val="2"/>
        <charset val="186"/>
        <scheme val="minor"/>
      </rPr>
      <t>Values</t>
    </r>
    <r>
      <rPr>
        <sz val="12"/>
        <color theme="1"/>
        <rFont val="Calibri"/>
        <family val="2"/>
        <charset val="186"/>
        <scheme val="minor"/>
      </rPr>
      <t xml:space="preserve"> sadaļa nosaka, ka jaunās tabulas vērtības būs katra statusa veida kopskaits datu tabulā</t>
    </r>
  </si>
  <si>
    <r>
      <rPr>
        <i/>
        <sz val="12"/>
        <color theme="1"/>
        <rFont val="Calibri"/>
        <family val="2"/>
        <charset val="186"/>
        <scheme val="minor"/>
      </rPr>
      <t>Values</t>
    </r>
    <r>
      <rPr>
        <sz val="12"/>
        <color theme="1"/>
        <rFont val="Calibri"/>
        <family val="2"/>
        <charset val="186"/>
        <scheme val="minor"/>
      </rPr>
      <t xml:space="preserve"> sadaļā funkcijas </t>
    </r>
    <r>
      <rPr>
        <i/>
        <sz val="12"/>
        <color theme="1"/>
        <rFont val="Calibri"/>
        <family val="2"/>
        <charset val="186"/>
        <scheme val="minor"/>
      </rPr>
      <t>Count</t>
    </r>
    <r>
      <rPr>
        <sz val="12"/>
        <color theme="1"/>
        <rFont val="Calibri"/>
        <family val="2"/>
        <charset val="186"/>
        <scheme val="minor"/>
      </rPr>
      <t xml:space="preserve"> vietā varētu lietot arī </t>
    </r>
    <r>
      <rPr>
        <i/>
        <sz val="12"/>
        <color theme="1"/>
        <rFont val="Calibri"/>
        <family val="2"/>
        <charset val="186"/>
        <scheme val="minor"/>
      </rPr>
      <t>sum</t>
    </r>
    <r>
      <rPr>
        <sz val="12"/>
        <color theme="1"/>
        <rFont val="Calibri"/>
        <family val="2"/>
        <charset val="186"/>
        <scheme val="minor"/>
      </rPr>
      <t xml:space="preserve">, </t>
    </r>
    <r>
      <rPr>
        <i/>
        <sz val="12"/>
        <color theme="1"/>
        <rFont val="Calibri"/>
        <family val="2"/>
        <charset val="186"/>
        <scheme val="minor"/>
      </rPr>
      <t>average</t>
    </r>
    <r>
      <rPr>
        <sz val="12"/>
        <color theme="1"/>
        <rFont val="Calibri"/>
        <family val="2"/>
        <charset val="186"/>
        <scheme val="minor"/>
      </rPr>
      <t xml:space="preserve"> vai kādu citu, ja dati būtu skaitļi</t>
    </r>
  </si>
  <si>
    <t>Rīga, Lubānas iela 150</t>
  </si>
  <si>
    <t>Rīga, Augusta Deglava iela un Ilūkstes iela krustojums</t>
  </si>
  <si>
    <t>Rīga, Lubānas iela 117A</t>
  </si>
  <si>
    <t>Rīga, Senču iela 2F</t>
  </si>
  <si>
    <t>Rīga, Maskavas iela 250</t>
  </si>
  <si>
    <t xml:space="preserve">Rīga, Dzelzavas iela </t>
  </si>
  <si>
    <t>Rīga, Duntes iela 19A</t>
  </si>
  <si>
    <t xml:space="preserve">Rīga, Eksporta iela </t>
  </si>
  <si>
    <t>Rīga, Lucavsalas iela 3</t>
  </si>
  <si>
    <t>Rīga, Gunāra Astras iela 17</t>
  </si>
  <si>
    <t>Rīga, Ozolciema iela 40</t>
  </si>
  <si>
    <t>Rīga, Ieriķu iela 7D</t>
  </si>
  <si>
    <t>Rīga, Stacijas laukums 4</t>
  </si>
  <si>
    <t xml:space="preserve">Rīga, Ilūkstes iela </t>
  </si>
  <si>
    <t>Rīga, Ādmiņu iela 5</t>
  </si>
  <si>
    <t>Rīga, Imantas 15. līnija 7</t>
  </si>
  <si>
    <t>Rīga, Daugavgrīvas iela 72</t>
  </si>
  <si>
    <t xml:space="preserve">Rīga, Biķernieku iela </t>
  </si>
  <si>
    <t>Rīga, Maskavas iela 220A</t>
  </si>
  <si>
    <t>Rīga, Kaļķu iela 2</t>
  </si>
  <si>
    <t xml:space="preserve">Rīga, Kapteiņu iela </t>
  </si>
  <si>
    <t xml:space="preserve">Rīga, Pērnavas iela </t>
  </si>
  <si>
    <t>Rīga, Traleru iela 2A</t>
  </si>
  <si>
    <t>Rīga, Stabu iela 89</t>
  </si>
  <si>
    <t>Rīga, Telts iela 9</t>
  </si>
  <si>
    <t>Rīga, Krišjāņa Valdemāra iela un Noliktavas iela krustojums</t>
  </si>
  <si>
    <t xml:space="preserve">Rīga, Vienības gatve </t>
  </si>
  <si>
    <t>Rīga, Krišjāņa Valdemāra iela 112</t>
  </si>
  <si>
    <r>
      <rPr>
        <b/>
        <sz val="11"/>
        <color theme="1"/>
        <rFont val="Calibri"/>
        <family val="2"/>
        <charset val="186"/>
        <scheme val="minor"/>
      </rPr>
      <t>Iespējamās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186"/>
        <scheme val="minor"/>
      </rPr>
      <t>atbildes</t>
    </r>
    <r>
      <rPr>
        <sz val="11"/>
        <color theme="1"/>
        <rFont val="Calibri"/>
        <family val="2"/>
        <scheme val="minor"/>
      </rPr>
      <t>:</t>
    </r>
  </si>
  <si>
    <r>
      <t xml:space="preserve">No faila </t>
    </r>
    <r>
      <rPr>
        <b/>
        <sz val="14"/>
        <color theme="1"/>
        <rFont val="Calibri"/>
        <family val="2"/>
        <charset val="186"/>
        <scheme val="minor"/>
      </rPr>
      <t>Dalibnieki.csv</t>
    </r>
    <r>
      <rPr>
        <sz val="14"/>
        <color theme="1"/>
        <rFont val="Calibri"/>
        <family val="2"/>
        <charset val="186"/>
        <scheme val="minor"/>
      </rPr>
      <t xml:space="preserve"> datiem iegūt attēlā redzamo histogrammu. Zemāk aprakstīti uzdevuma veikšanai nepieciešamie soļi:</t>
    </r>
  </si>
  <si>
    <r>
      <t xml:space="preserve">Šai darbgrāmatai pievienot jaunu darblapu un nosaukt to par </t>
    </r>
    <r>
      <rPr>
        <b/>
        <sz val="11"/>
        <color theme="1"/>
        <rFont val="Calibri"/>
        <family val="2"/>
        <charset val="186"/>
        <scheme val="minor"/>
      </rPr>
      <t>Vecums</t>
    </r>
  </si>
  <si>
    <r>
      <t xml:space="preserve">Failā </t>
    </r>
    <r>
      <rPr>
        <b/>
        <sz val="12"/>
        <color theme="1"/>
        <rFont val="Calibri"/>
        <family val="2"/>
        <charset val="186"/>
        <scheme val="minor"/>
      </rPr>
      <t>Dalibnieki.csv</t>
    </r>
    <r>
      <rPr>
        <sz val="12"/>
        <color theme="1"/>
        <rFont val="Calibri"/>
        <family val="2"/>
        <charset val="186"/>
        <scheme val="minor"/>
      </rPr>
      <t xml:space="preserve"> filtrēt datus pēc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(vadītājs) un </t>
    </r>
    <r>
      <rPr>
        <b/>
        <sz val="12"/>
        <color theme="1"/>
        <rFont val="Calibri"/>
        <family val="2"/>
        <charset val="186"/>
        <scheme val="minor"/>
      </rPr>
      <t>Vecums</t>
    </r>
    <r>
      <rPr>
        <sz val="12"/>
        <color theme="1"/>
        <rFont val="Calibri"/>
        <family val="2"/>
        <charset val="186"/>
        <scheme val="minor"/>
      </rPr>
      <t xml:space="preserve"> (netukšie)</t>
    </r>
  </si>
  <si>
    <r>
      <t xml:space="preserve">Atlasīt no filtrētajiem datiem tikai  kolonnas </t>
    </r>
    <r>
      <rPr>
        <b/>
        <sz val="11"/>
        <color theme="1"/>
        <rFont val="Calibri"/>
        <family val="2"/>
        <charset val="186"/>
        <scheme val="minor"/>
      </rPr>
      <t>Vecums</t>
    </r>
    <r>
      <rPr>
        <sz val="11"/>
        <color theme="1"/>
        <rFont val="Calibri"/>
        <family val="2"/>
        <charset val="186"/>
        <scheme val="minor"/>
      </rPr>
      <t xml:space="preserve"> skaitļus un iekopēt tos darblapā </t>
    </r>
    <r>
      <rPr>
        <b/>
        <sz val="11"/>
        <color theme="1"/>
        <rFont val="Calibri"/>
        <family val="2"/>
        <charset val="186"/>
        <scheme val="minor"/>
      </rPr>
      <t>Vecums</t>
    </r>
  </si>
  <si>
    <t>iekopētos datus attēlot histogrammā</t>
  </si>
  <si>
    <t>Mainīt histogrammas horizontālās ass iestatījumus tā, kā redzams attēlā</t>
  </si>
  <si>
    <t xml:space="preserve">Cik ir vārdu, kas beidzas ar a? </t>
  </si>
  <si>
    <t>Cik ir vārdu, kam galotne ir „is“?</t>
  </si>
  <si>
    <t>Cik ir sieviešu vārdu?</t>
  </si>
  <si>
    <t>Cik ir sieviešu vārdu, kam vārda dienas ir martā.</t>
  </si>
  <si>
    <t>Cik ir vīriešu vārdu, kam pirmais burts ir „P“?</t>
  </si>
  <si>
    <t>Cik cilvēkiem vārda dienas ir rudenī, t.i.,septembrī, oktobrī, novembrī.</t>
  </si>
  <si>
    <t>Cik cilvēkiem vārda dienas nav ziemā?</t>
  </si>
  <si>
    <t>Kurā mēnesī ir visvairāk vārda dienu?</t>
  </si>
  <si>
    <t>Kuri un cik ir tādi vārdi, kas ir datumos, kad vārda diena ir tikai vienam cilvēkam?</t>
  </si>
  <si>
    <t>Kuros mēnešo sieviešu vārdu ir vairāk kā vīriešu vārdu?</t>
  </si>
  <si>
    <t>Izmantojot datni vardadienas.txt, iegūt atbildes  uz jautājumiem</t>
  </si>
  <si>
    <t>Ja vienādām vienas pazīmes vērtību izmaiņām atbilst aptuveni vienādas otras pazīmes vērtību izmaiņas, tad korelācija ir lineāra – tā tuvojas lineārai funkcijai. Nelineārā atkarība tuvojas kādai līklīnijas funkcijai.</t>
  </si>
  <si>
    <t>0&lt;|r|≤0,25 - ļoti vāja sakarība</t>
  </si>
  <si>
    <t>0,25&lt;|r|≤0,5 - vāja sakarība</t>
  </si>
  <si>
    <t>0,5&lt;|r|≤0,75 - vidēja sakarība</t>
  </si>
  <si>
    <t>0,75&lt;|r|≤1 - cieša sakarība</t>
  </si>
  <si>
    <t>|r|&gt;1 - nepareizi aprēķini</t>
  </si>
  <si>
    <t>Rīgas Celtniecības koledža</t>
  </si>
  <si>
    <t>Malnavas koledža</t>
  </si>
  <si>
    <t>Rīgas Stradiņa universitātes Sarkanā Krusta medicīnas koledža</t>
  </si>
  <si>
    <t>Valsts policijas koledža</t>
  </si>
  <si>
    <t>Vidējie ienākumi, EUR gadā</t>
  </si>
  <si>
    <t>Absolventi, nodarbināti, skaits</t>
  </si>
  <si>
    <t>Absolventu skaits, kopā</t>
  </si>
  <si>
    <t xml:space="preserve">Programmas kods </t>
  </si>
  <si>
    <t>Sabiedrība ar ierobežotu atbildību "Starptautiskā Kosmetoloģijas koledža"</t>
  </si>
  <si>
    <t>Sabiedrība ar ierobežotu atbildību "Biznesa vadības koledža"</t>
  </si>
  <si>
    <t>Sabiedrība ar ierobežotu atbildību "ALBERTA KOLEDŽA"</t>
  </si>
  <si>
    <t>Juridiskā koledža</t>
  </si>
  <si>
    <t>Ugunsdrošības un civilās aizsardzības koledža</t>
  </si>
  <si>
    <t>Latvijas Kultūras akadēmijas aģentūra "Latvijas Kultūras akadēmijas Latvijas Kultūras koledža"</t>
  </si>
  <si>
    <t>Latvijas Universitātes aģentūra "Latvijas Universitātes Rīgas 1. medicīnas koledža"</t>
  </si>
  <si>
    <t>Latvijas Universitātes Rīgas Medicīnas koledža</t>
  </si>
  <si>
    <t>Profesionālās izglītības kompetences centrs "Rīgas Tehniskā koledža"</t>
  </si>
  <si>
    <t>Rīgas Ekonomikas augstskola - STOCKHOLM SCHOOL OF ECONOMICS IN RIGA</t>
  </si>
  <si>
    <t>Biznesa, mākslas un tehnoloģiju augstskola "RISEBA"</t>
  </si>
  <si>
    <t>Transporta un sakaru institūts</t>
  </si>
  <si>
    <t>Ekonomikas un kultūras augstskola</t>
  </si>
  <si>
    <t>Biznesa augstskola Turība</t>
  </si>
  <si>
    <t>Informācijas sistēmu menedžmenta augstskola</t>
  </si>
  <si>
    <t>Sabiedrība ar ierobežotu atbildību "BALTIJAS STARPTAUTISKĀ AKADĒMIJA"</t>
  </si>
  <si>
    <t>Latvijas Nacionālās aizsardzības akadēmija</t>
  </si>
  <si>
    <t>Latvijas Jūras akadēmija</t>
  </si>
  <si>
    <t>Banku augstskola</t>
  </si>
  <si>
    <t>Latvijas Kultūras akadēmija</t>
  </si>
  <si>
    <t>Jāzepa Vītola Latvijas Mūzikas akadēmija</t>
  </si>
  <si>
    <t>Latvijas Mākslas akadēmija</t>
  </si>
  <si>
    <t>Latvijas Sporta pedagoģijas akadēmija</t>
  </si>
  <si>
    <t>Rīgas Stradiņa universitāte</t>
  </si>
  <si>
    <t>Rīgas Tehniskā universitāte</t>
  </si>
  <si>
    <t>Latvijas Universitāte</t>
  </si>
  <si>
    <t>Liepājas Jūrniecības koledža</t>
  </si>
  <si>
    <t>Liepājas Universitāte</t>
  </si>
  <si>
    <t>Latvijas Universitātes P.Stradiņa medicīnas koledža</t>
  </si>
  <si>
    <t>Latvijas Lauksaimniecības universitāte</t>
  </si>
  <si>
    <t>Daugavpils Universitāte</t>
  </si>
  <si>
    <t>Rīgas Aeronavigācijas institūts</t>
  </si>
  <si>
    <t>Ventspils Augstskola</t>
  </si>
  <si>
    <t>Valsts robežsardzes koledža</t>
  </si>
  <si>
    <t>Rēzeknes Tehnoloģiju akadēmija</t>
  </si>
  <si>
    <t>Sabiedrība ar ierobežotu atbildību "Grāmatvedības un finanšu koledža"</t>
  </si>
  <si>
    <t>Ienākumu mediāna, EUR gadā</t>
  </si>
  <si>
    <t>Absolventi,  pieder kapitāldaļas, absolventu skaits</t>
  </si>
  <si>
    <t>Absolventi, dibinājuši uzņēmumus, absolventu skaits</t>
  </si>
  <si>
    <t>Absolventu dibinātie uzņēmumi, uzņēmumu skaits</t>
  </si>
  <si>
    <t>Absolventi, ar uzturēšanās atļaujām, skaits</t>
  </si>
  <si>
    <t>Absoventi, nav ziņu par nodarbinātību, skaits</t>
  </si>
  <si>
    <t>Absolventi, emigrējuši, skaits</t>
  </si>
  <si>
    <t>Absolventi, bezdarbnieki, ekonomiski neaktīvi kopā</t>
  </si>
  <si>
    <t>Studiju līmenis</t>
  </si>
  <si>
    <t>Augstskolas nosaukums</t>
  </si>
  <si>
    <t>Taksācijas gads</t>
  </si>
  <si>
    <t>Absolvēšanas gads</t>
  </si>
  <si>
    <t>Mēnesis</t>
  </si>
  <si>
    <t>Temp. (C°)</t>
  </si>
  <si>
    <t>Pārdoto sildītāju skaits</t>
  </si>
  <si>
    <t>Korelācijas koeficienti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</si>
  <si>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</si>
  <si>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</si>
  <si>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</si>
  <si>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</si>
  <si>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</si>
  <si>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</si>
  <si>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</si>
  <si>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</si>
  <si>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</si>
  <si>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</si>
  <si>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</si>
  <si>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</si>
  <si>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Statistikas datu analīze - lineārā regresija un korelācijas koeficients</t>
  </si>
  <si>
    <r>
      <t>Pāru </t>
    </r>
    <r>
      <rPr>
        <b/>
        <sz val="12"/>
        <color rgb="FF000000"/>
        <rFont val="Calibri"/>
        <family val="2"/>
        <scheme val="minor"/>
      </rPr>
      <t>korelācija</t>
    </r>
    <r>
      <rPr>
        <sz val="12"/>
        <color rgb="FF000000"/>
        <rFont val="Calibri"/>
        <family val="2"/>
        <scheme val="minor"/>
      </rPr>
      <t> raksturo sakarību ciešumu starp divām pazīmēm.</t>
    </r>
  </si>
  <si>
    <r>
      <t>Korelāciju var attēlot ar </t>
    </r>
    <r>
      <rPr>
        <b/>
        <sz val="12"/>
        <color theme="1"/>
        <rFont val="Calibri"/>
        <family val="2"/>
        <scheme val="minor"/>
      </rPr>
      <t>izkliedes</t>
    </r>
    <r>
      <rPr>
        <sz val="12"/>
        <color theme="1"/>
        <rFont val="Calibri"/>
        <family val="2"/>
        <scheme val="minor"/>
      </rPr>
      <t xml:space="preserve"> (Scatter) diagrammu un raksturot ar korelācijas jeb Pīrsona koeficientu </t>
    </r>
    <r>
      <rPr>
        <b/>
        <sz val="12"/>
        <color theme="1"/>
        <rFont val="Calibri"/>
        <family val="2"/>
        <scheme val="minor"/>
      </rPr>
      <t>r</t>
    </r>
    <r>
      <rPr>
        <sz val="12"/>
        <color theme="1"/>
        <rFont val="Calibri"/>
        <family val="2"/>
        <scheme val="minor"/>
      </rPr>
      <t>.</t>
    </r>
  </si>
  <si>
    <t>Korelācijas koeficients norāda lineārās sakarības ciešuma pakāpi. </t>
  </si>
  <si>
    <r>
      <t>Lineāru korelāciju var raksturot ar </t>
    </r>
    <r>
      <rPr>
        <b/>
        <sz val="12"/>
        <color rgb="FF4E4E3F"/>
        <rFont val="Calibri"/>
        <family val="2"/>
        <scheme val="minor"/>
      </rPr>
      <t>lineārās regresijas vienādojumu</t>
    </r>
    <r>
      <rPr>
        <sz val="12"/>
        <color rgb="FF4E4E3F"/>
        <rFont val="Calibri"/>
        <family val="2"/>
        <scheme val="minor"/>
      </rPr>
      <t xml:space="preserve">. Vienkāršs pāru lineārās regresijas vienādojums vispārīgā veidā ir </t>
    </r>
    <r>
      <rPr>
        <b/>
        <sz val="12"/>
        <color rgb="FF4E4E3F"/>
        <rFont val="Calibri"/>
        <family val="2"/>
        <scheme val="minor"/>
      </rPr>
      <t>y=ax+b.</t>
    </r>
    <r>
      <rPr>
        <sz val="12"/>
        <color rgb="FF4E4E3F"/>
        <rFont val="Calibri"/>
        <family val="2"/>
        <scheme val="minor"/>
      </rPr>
      <t xml:space="preserve"> Koeficientus var atrast ar funkciju </t>
    </r>
    <r>
      <rPr>
        <b/>
        <sz val="12"/>
        <color rgb="FF4E4E3F"/>
        <rFont val="Calibri"/>
        <family val="2"/>
        <scheme val="minor"/>
      </rPr>
      <t>Linest()</t>
    </r>
    <r>
      <rPr>
        <sz val="12"/>
        <color rgb="FF4E4E3F"/>
        <rFont val="Calibri"/>
        <family val="2"/>
        <scheme val="minor"/>
      </rPr>
      <t>.</t>
    </r>
  </si>
  <si>
    <r>
      <t xml:space="preserve">Vingrinājumi, izmantojot datus no darblapas </t>
    </r>
    <r>
      <rPr>
        <i/>
        <sz val="12"/>
        <color theme="1"/>
        <rFont val="Calibri"/>
        <family val="2"/>
        <scheme val="minor"/>
      </rPr>
      <t>Augstskolas.</t>
    </r>
  </si>
  <si>
    <t>Izveidot izkliedes diagrammu un noteikt, vai pastāv korelācija starp studiju līmeni un vidējo algu pēc studiju beigšanas.</t>
  </si>
  <si>
    <t>Izveidot kastu (Box) diagrammu un no tās noteikt, kura studiju virziena absolventiem ir vislielākā vidējā alga.</t>
  </si>
  <si>
    <t>1.</t>
  </si>
  <si>
    <t>2.</t>
  </si>
  <si>
    <t>No klases mapes iegūt datus par ceļu satiksmes negadījumiem:</t>
  </si>
  <si>
    <r>
      <rPr>
        <b/>
        <sz val="12"/>
        <color theme="1"/>
        <rFont val="Calibri"/>
        <family val="2"/>
        <scheme val="minor"/>
      </rPr>
      <t>lejuplādēt</t>
    </r>
    <r>
      <rPr>
        <sz val="12"/>
        <color theme="1"/>
        <rFont val="Calibri"/>
        <family val="2"/>
        <charset val="186"/>
        <scheme val="minor"/>
      </rPr>
      <t xml:space="preserve"> arhīva datni </t>
    </r>
    <r>
      <rPr>
        <b/>
        <sz val="12"/>
        <color theme="1"/>
        <rFont val="Calibri"/>
        <family val="2"/>
        <scheme val="minor"/>
      </rPr>
      <t>rezultati.zip</t>
    </r>
  </si>
  <si>
    <r>
      <t xml:space="preserve">no arhīva izvilkt visas datnes, iegūstot mapi </t>
    </r>
    <r>
      <rPr>
        <b/>
        <sz val="12"/>
        <color theme="1"/>
        <rFont val="Calibri"/>
        <family val="2"/>
        <scheme val="minor"/>
      </rPr>
      <t>rezultati</t>
    </r>
    <r>
      <rPr>
        <sz val="12"/>
        <color theme="1"/>
        <rFont val="Calibri"/>
        <family val="2"/>
        <charset val="186"/>
        <scheme val="minor"/>
      </rPr>
      <t xml:space="preserve"> ar vairākām </t>
    </r>
    <r>
      <rPr>
        <b/>
        <sz val="12"/>
        <color theme="1"/>
        <rFont val="Calibri"/>
        <family val="2"/>
        <scheme val="minor"/>
      </rPr>
      <t>csv</t>
    </r>
    <r>
      <rPr>
        <sz val="12"/>
        <color theme="1"/>
        <rFont val="Calibri"/>
        <family val="2"/>
        <charset val="186"/>
        <scheme val="minor"/>
      </rPr>
      <t xml:space="preserve"> datnēm</t>
    </r>
  </si>
  <si>
    <t>Iegūtās datnes satur vecus datus!</t>
  </si>
  <si>
    <t>Jaunākos datus (bet citādi organizētus) var iegūt Latvijas atvērto datu portālā</t>
  </si>
  <si>
    <t>https://data.gov.lv/dati/lv/dataset/giswebcais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</si>
</sst>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L_s_-;\-* #,##0.00\ _L_s_-;_-* &quot;-&quot;??\ _L_s_-;_-@_-"/>
  </numFmts>
  <fonts count="21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8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b/>
      <sz val="12"/>
      <color theme="1"/>
      <name val="Calibri"/>
      <family val="2"/>
      <charset val="186"/>
      <scheme val="minor"/>
    </font>
    <font>
      <i/>
      <sz val="12"/>
      <color theme="1"/>
      <name val="Calibri"/>
      <family val="2"/>
      <charset val="186"/>
      <scheme val="minor"/>
    </font>
    <font>
      <i/>
      <sz val="12"/>
      <name val="Calibri"/>
      <family val="2"/>
      <charset val="186"/>
      <scheme val="minor"/>
    </font>
    <font>
      <sz val="14"/>
      <color theme="1"/>
      <name val="Calibri"/>
      <family val="2"/>
      <charset val="186"/>
      <scheme val="minor"/>
    </font>
    <font>
      <b/>
      <sz val="14"/>
      <color theme="1"/>
      <name val="Calibri"/>
      <family val="2"/>
      <charset val="186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4E4E3F"/>
      <name val="Calibri"/>
      <family val="2"/>
      <scheme val="minor"/>
    </font>
    <font>
      <b/>
      <sz val="12"/>
      <color rgb="FF4E4E3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242424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6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43" fontId="2" fillId="0" borderId="1" xfId="1" applyFont="1" applyBorder="1" applyAlignment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3" fontId="2" fillId="0" borderId="1" xfId="1" applyFont="1" applyBorder="1" applyAlignment="1">
      <alignment horizontal="center"/>
    </xf>
    <xf numFmtId="0" fontId="0" fillId="0" borderId="0" xfId="0" applyAlignment="1">
      <alignment textRotation="90" wrapText="1"/>
    </xf>
    <xf numFmtId="0" fontId="15" fillId="0" borderId="0" xfId="0" applyFont="1"/>
    <xf numFmtId="0" fontId="17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9" fontId="0" fillId="0" borderId="0" xfId="5" applyFont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left" wrapText="1"/>
    </xf>
    <xf numFmtId="43" fontId="2" fillId="0" borderId="1" xfId="1" applyFont="1" applyBorder="1" applyAlignment="1">
      <alignment horizontal="center"/>
    </xf>
    <xf numFmtId="0" fontId="20" fillId="0" borderId="0" xfId="0" applyFont="1"/>
    <xf numFmtId="0" fontId="3" fillId="3" borderId="0" xfId="0" applyFont="1" applyFill="1"/>
  </cellXfs>
  <cellStyles count="6">
    <cellStyle name="Comma" xfId="1" builtinId="3"/>
    <cellStyle name="Comma 2" xfId="3" xr:uid="{9ADCE641-B3D4-4B96-809D-301FF94FDD10}"/>
    <cellStyle name="Normal" xfId="0" builtinId="0"/>
    <cellStyle name="Normal 2" xfId="2" xr:uid="{4FF8E7D9-F57A-49D2-A789-DF26BC0005A9}"/>
    <cellStyle name="Percent" xfId="5" builtinId="5"/>
    <cellStyle name="Percent 2" xfId="4" xr:uid="{B11BD1C9-AE80-482F-88E2-66BCE477DF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34493514397656E-2"/>
          <c:y val="0.14909670563230606"/>
          <c:w val="0.92150367073681005"/>
          <c:h val="0.786439009151486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'[1]Correlation coefficient'!$C$1</c:f>
              <c:strCache>
                <c:ptCount val="1"/>
                <c:pt idx="0">
                  <c:v>Pārdoto sildītāju skaits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'[1]Correlation coefficient'!$B$2:$B$13</c:f>
              <c:numCache>
                <c:formatCode>General</c:formatCode>
                <c:ptCount val="12"/>
                <c:pt idx="0">
                  <c:v>-5</c:v>
                </c:pt>
                <c:pt idx="1">
                  <c:v>-7</c:v>
                </c:pt>
                <c:pt idx="2">
                  <c:v>5</c:v>
                </c:pt>
                <c:pt idx="3">
                  <c:v>10</c:v>
                </c:pt>
                <c:pt idx="4">
                  <c:v>18</c:v>
                </c:pt>
                <c:pt idx="5">
                  <c:v>22</c:v>
                </c:pt>
                <c:pt idx="6">
                  <c:v>28</c:v>
                </c:pt>
                <c:pt idx="7">
                  <c:v>25</c:v>
                </c:pt>
                <c:pt idx="8">
                  <c:v>16</c:v>
                </c:pt>
                <c:pt idx="9">
                  <c:v>10</c:v>
                </c:pt>
                <c:pt idx="10">
                  <c:v>2</c:v>
                </c:pt>
                <c:pt idx="11">
                  <c:v>-3</c:v>
                </c:pt>
              </c:numCache>
            </c:numRef>
          </c:xVal>
          <c:yVal>
            <c:numRef>
              <c:f>'[1]Correlation coefficient'!$C$2:$C$13</c:f>
              <c:numCache>
                <c:formatCode>General</c:formatCode>
                <c:ptCount val="12"/>
                <c:pt idx="0">
                  <c:v>98</c:v>
                </c:pt>
                <c:pt idx="1">
                  <c:v>100</c:v>
                </c:pt>
                <c:pt idx="2">
                  <c:v>75</c:v>
                </c:pt>
                <c:pt idx="3">
                  <c:v>67</c:v>
                </c:pt>
                <c:pt idx="4">
                  <c:v>24</c:v>
                </c:pt>
                <c:pt idx="5">
                  <c:v>26</c:v>
                </c:pt>
                <c:pt idx="6">
                  <c:v>25</c:v>
                </c:pt>
                <c:pt idx="7">
                  <c:v>27</c:v>
                </c:pt>
                <c:pt idx="8">
                  <c:v>40</c:v>
                </c:pt>
                <c:pt idx="9">
                  <c:v>55</c:v>
                </c:pt>
                <c:pt idx="10">
                  <c:v>88</c:v>
                </c:pt>
                <c:pt idx="11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26-4262-9B3B-FCE76DBF1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87824"/>
        <c:axId val="91388656"/>
      </c:scatterChart>
      <c:valAx>
        <c:axId val="9138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8656"/>
        <c:crosses val="autoZero"/>
        <c:crossBetween val="midCat"/>
      </c:valAx>
      <c:valAx>
        <c:axId val="9138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tmp"/><Relationship Id="rId5" Type="http://schemas.openxmlformats.org/officeDocument/2006/relationships/image" Target="../media/image8.tmp"/><Relationship Id="rId4" Type="http://schemas.openxmlformats.org/officeDocument/2006/relationships/image" Target="../media/image7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3939539</xdr:colOff>
      <xdr:row>13</xdr:row>
      <xdr:rowOff>24309</xdr:rowOff>
    </xdr:from>
    <xdr:to>
      <xdr:col>10</xdr:col>
      <xdr:colOff>4498</xdr:colOff>
      <xdr:row>27</xdr:row>
      <xdr:rowOff>135521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8B77B9-131E-4F4F-B79C-6A6BB3EF9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6739" y="2843709"/>
          <a:ext cx="5890949" cy="2884892"/>
        </a:xfrm>
        <a:prstGeom prst="rect">
          <a:avLst/>
        </a:prstGeom>
      </xdr:spPr>
    </xdr:pic>
    <xdr:clientData/>
  </xdr:twoCellAnchor>
  <xdr:twoCellAnchor editAs="oneCell">
    <xdr:from>
      <xdr:col>8</xdr:col>
      <xdr:colOff>7621</xdr:colOff>
      <xdr:row>2</xdr:row>
      <xdr:rowOff>1</xdr:rowOff>
    </xdr:from>
    <xdr:to>
      <xdr:col>9</xdr:col>
      <xdr:colOff>1906</xdr:colOff>
      <xdr:row>12</xdr:row>
      <xdr:rowOff>83821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05EFB0-ABC2-46EB-BAE5-71E11DF52AEB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861" y="464821"/>
          <a:ext cx="3032760" cy="224028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15241</xdr:colOff>
      <xdr:row>2</xdr:row>
      <xdr:rowOff>0</xdr:rowOff>
    </xdr:from>
    <xdr:to>
      <xdr:col>9</xdr:col>
      <xdr:colOff>2743201</xdr:colOff>
      <xdr:row>12</xdr:row>
      <xdr:rowOff>83819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FA96EFB-0BCB-448C-A737-BE05B7BA785B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48061" y="464820"/>
          <a:ext cx="2727960" cy="22402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3924300</xdr:colOff>
      <xdr:row>1</xdr:row>
      <xdr:rowOff>198120</xdr:rowOff>
    </xdr:from>
    <xdr:to>
      <xdr:col>9</xdr:col>
      <xdr:colOff>2804160</xdr:colOff>
      <xdr:row>6</xdr:row>
      <xdr:rowOff>182880</xdr:rowOff>
    </xdr:to>
    <xdr:pic>
      <xdr:nvPicPr>
        <xdr:cNvPr id="5" name="Picture 4" descr="Graphical user interface, application&#10;&#10;Description automatically generated">
          <a:extLst>
            <a:ext uri="{FF2B5EF4-FFF2-40B4-BE49-F238E27FC236}">
              <a16:creationId xmlns:a16="http://schemas.microsoft.com/office/drawing/2014/main" id="{10AF4A88-5961-4112-9247-8E4B45A65E9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0" y="457200"/>
          <a:ext cx="5943600" cy="1158240"/>
        </a:xfrm>
        <a:prstGeom prst="rect">
          <a:avLst/>
        </a:prstGeom>
      </xdr:spPr>
    </xdr:pic>
    <xdr:clientData/>
  </xdr:twoCellAnchor>
  <xdr:twoCellAnchor editAs="oneCell">
    <xdr:from>
      <xdr:col>7</xdr:col>
      <xdr:colOff>3939541</xdr:colOff>
      <xdr:row>7</xdr:row>
      <xdr:rowOff>160109</xdr:rowOff>
    </xdr:from>
    <xdr:to>
      <xdr:col>8</xdr:col>
      <xdr:colOff>3093720</xdr:colOff>
      <xdr:row>20</xdr:row>
      <xdr:rowOff>106146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3F3050-E194-44F9-95AE-214D56A21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6741" y="1790789"/>
          <a:ext cx="3101339" cy="2521597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14</xdr:row>
      <xdr:rowOff>83820</xdr:rowOff>
    </xdr:from>
    <xdr:to>
      <xdr:col>7</xdr:col>
      <xdr:colOff>3116580</xdr:colOff>
      <xdr:row>29</xdr:row>
      <xdr:rowOff>0</xdr:rowOff>
    </xdr:to>
    <xdr:pic>
      <xdr:nvPicPr>
        <xdr:cNvPr id="7" name="Picture 6" descr="Graphical user interface, application, table, Excel&#10;&#10;Description automatically generated">
          <a:extLst>
            <a:ext uri="{FF2B5EF4-FFF2-40B4-BE49-F238E27FC236}">
              <a16:creationId xmlns:a16="http://schemas.microsoft.com/office/drawing/2014/main" id="{246D359E-EE5D-47A0-9524-DB93C0E003CC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101340"/>
          <a:ext cx="7231380" cy="2887980"/>
        </a:xfrm>
        <a:prstGeom prst="rect">
          <a:avLst/>
        </a:prstGeom>
      </xdr:spPr>
    </xdr:pic>
    <xdr:clientData/>
  </xdr:twoCellAnchor>
  <xdr:twoCellAnchor editAs="oneCell">
    <xdr:from>
      <xdr:col>7</xdr:col>
      <xdr:colOff>3939540</xdr:colOff>
      <xdr:row>26</xdr:row>
      <xdr:rowOff>167640</xdr:rowOff>
    </xdr:from>
    <xdr:to>
      <xdr:col>9</xdr:col>
      <xdr:colOff>1897380</xdr:colOff>
      <xdr:row>39</xdr:row>
      <xdr:rowOff>152400</xdr:rowOff>
    </xdr:to>
    <xdr:pic>
      <xdr:nvPicPr>
        <xdr:cNvPr id="8" name="Picture 7" descr="Graphical user interface, text, application, email&#10;&#10;Description automatically generated">
          <a:extLst>
            <a:ext uri="{FF2B5EF4-FFF2-40B4-BE49-F238E27FC236}">
              <a16:creationId xmlns:a16="http://schemas.microsoft.com/office/drawing/2014/main" id="{C1184645-D9A5-4AB0-BCB0-705AF2C9792B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6740" y="5562600"/>
          <a:ext cx="5021580" cy="25603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160020</xdr:rowOff>
    </xdr:from>
    <xdr:to>
      <xdr:col>9</xdr:col>
      <xdr:colOff>1889760</xdr:colOff>
      <xdr:row>56</xdr:row>
      <xdr:rowOff>0</xdr:rowOff>
    </xdr:to>
    <xdr:pic>
      <xdr:nvPicPr>
        <xdr:cNvPr id="9" name="Picture 8" descr="A picture containing table&#10;&#10;Description automatically generated">
          <a:extLst>
            <a:ext uri="{FF2B5EF4-FFF2-40B4-BE49-F238E27FC236}">
              <a16:creationId xmlns:a16="http://schemas.microsoft.com/office/drawing/2014/main" id="{AB292EC2-3FA9-4857-8FFD-F2617998CF4A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4360" y="8526780"/>
          <a:ext cx="5006340" cy="2628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2</xdr:row>
      <xdr:rowOff>9526</xdr:rowOff>
    </xdr:from>
    <xdr:to>
      <xdr:col>28</xdr:col>
      <xdr:colOff>541269</xdr:colOff>
      <xdr:row>31</xdr:row>
      <xdr:rowOff>70466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5FAB53-33F8-43BE-BD6D-16CD2C88E6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238875" y="438151"/>
          <a:ext cx="11371194" cy="560449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25</xdr:col>
      <xdr:colOff>190500</xdr:colOff>
      <xdr:row>12</xdr:row>
      <xdr:rowOff>80278</xdr:rowOff>
    </xdr:from>
    <xdr:to>
      <xdr:col>28</xdr:col>
      <xdr:colOff>552450</xdr:colOff>
      <xdr:row>16</xdr:row>
      <xdr:rowOff>95250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55088272-C9D5-48B0-A78D-BCE81A9CAA64}"/>
            </a:ext>
          </a:extLst>
        </xdr:cNvPr>
        <xdr:cNvSpPr/>
      </xdr:nvSpPr>
      <xdr:spPr>
        <a:xfrm>
          <a:off x="15430500" y="2432953"/>
          <a:ext cx="2190750" cy="776972"/>
        </a:xfrm>
        <a:custGeom>
          <a:avLst/>
          <a:gdLst>
            <a:gd name="connsiteX0" fmla="*/ 2162175 w 2190750"/>
            <a:gd name="connsiteY0" fmla="*/ 253097 h 776972"/>
            <a:gd name="connsiteX1" fmla="*/ 2114550 w 2190750"/>
            <a:gd name="connsiteY1" fmla="*/ 205472 h 776972"/>
            <a:gd name="connsiteX2" fmla="*/ 2047875 w 2190750"/>
            <a:gd name="connsiteY2" fmla="*/ 186422 h 776972"/>
            <a:gd name="connsiteX3" fmla="*/ 1885950 w 2190750"/>
            <a:gd name="connsiteY3" fmla="*/ 148322 h 776972"/>
            <a:gd name="connsiteX4" fmla="*/ 1619250 w 2190750"/>
            <a:gd name="connsiteY4" fmla="*/ 81647 h 776972"/>
            <a:gd name="connsiteX5" fmla="*/ 1533525 w 2190750"/>
            <a:gd name="connsiteY5" fmla="*/ 72122 h 776972"/>
            <a:gd name="connsiteX6" fmla="*/ 885825 w 2190750"/>
            <a:gd name="connsiteY6" fmla="*/ 53072 h 776972"/>
            <a:gd name="connsiteX7" fmla="*/ 104775 w 2190750"/>
            <a:gd name="connsiteY7" fmla="*/ 53072 h 776972"/>
            <a:gd name="connsiteX8" fmla="*/ 47625 w 2190750"/>
            <a:gd name="connsiteY8" fmla="*/ 110222 h 776972"/>
            <a:gd name="connsiteX9" fmla="*/ 19050 w 2190750"/>
            <a:gd name="connsiteY9" fmla="*/ 167372 h 776972"/>
            <a:gd name="connsiteX10" fmla="*/ 0 w 2190750"/>
            <a:gd name="connsiteY10" fmla="*/ 243572 h 776972"/>
            <a:gd name="connsiteX11" fmla="*/ 28575 w 2190750"/>
            <a:gd name="connsiteY11" fmla="*/ 434072 h 776972"/>
            <a:gd name="connsiteX12" fmla="*/ 66675 w 2190750"/>
            <a:gd name="connsiteY12" fmla="*/ 491222 h 776972"/>
            <a:gd name="connsiteX13" fmla="*/ 133350 w 2190750"/>
            <a:gd name="connsiteY13" fmla="*/ 557897 h 776972"/>
            <a:gd name="connsiteX14" fmla="*/ 171450 w 2190750"/>
            <a:gd name="connsiteY14" fmla="*/ 567422 h 776972"/>
            <a:gd name="connsiteX15" fmla="*/ 285750 w 2190750"/>
            <a:gd name="connsiteY15" fmla="*/ 615047 h 776972"/>
            <a:gd name="connsiteX16" fmla="*/ 323850 w 2190750"/>
            <a:gd name="connsiteY16" fmla="*/ 634097 h 776972"/>
            <a:gd name="connsiteX17" fmla="*/ 762000 w 2190750"/>
            <a:gd name="connsiteY17" fmla="*/ 719822 h 776972"/>
            <a:gd name="connsiteX18" fmla="*/ 895350 w 2190750"/>
            <a:gd name="connsiteY18" fmla="*/ 738872 h 776972"/>
            <a:gd name="connsiteX19" fmla="*/ 1085850 w 2190750"/>
            <a:gd name="connsiteY19" fmla="*/ 767447 h 776972"/>
            <a:gd name="connsiteX20" fmla="*/ 1333500 w 2190750"/>
            <a:gd name="connsiteY20" fmla="*/ 776972 h 776972"/>
            <a:gd name="connsiteX21" fmla="*/ 1752600 w 2190750"/>
            <a:gd name="connsiteY21" fmla="*/ 767447 h 776972"/>
            <a:gd name="connsiteX22" fmla="*/ 1819275 w 2190750"/>
            <a:gd name="connsiteY22" fmla="*/ 748397 h 776972"/>
            <a:gd name="connsiteX23" fmla="*/ 1933575 w 2190750"/>
            <a:gd name="connsiteY23" fmla="*/ 700772 h 776972"/>
            <a:gd name="connsiteX24" fmla="*/ 2028825 w 2190750"/>
            <a:gd name="connsiteY24" fmla="*/ 662672 h 776972"/>
            <a:gd name="connsiteX25" fmla="*/ 2066925 w 2190750"/>
            <a:gd name="connsiteY25" fmla="*/ 634097 h 776972"/>
            <a:gd name="connsiteX26" fmla="*/ 2085975 w 2190750"/>
            <a:gd name="connsiteY26" fmla="*/ 595997 h 776972"/>
            <a:gd name="connsiteX27" fmla="*/ 2105025 w 2190750"/>
            <a:gd name="connsiteY27" fmla="*/ 538847 h 776972"/>
            <a:gd name="connsiteX28" fmla="*/ 2133600 w 2190750"/>
            <a:gd name="connsiteY28" fmla="*/ 481697 h 776972"/>
            <a:gd name="connsiteX29" fmla="*/ 2152650 w 2190750"/>
            <a:gd name="connsiteY29" fmla="*/ 453122 h 776972"/>
            <a:gd name="connsiteX30" fmla="*/ 2181225 w 2190750"/>
            <a:gd name="connsiteY30" fmla="*/ 395972 h 776972"/>
            <a:gd name="connsiteX31" fmla="*/ 2190750 w 2190750"/>
            <a:gd name="connsiteY31" fmla="*/ 357872 h 776972"/>
            <a:gd name="connsiteX32" fmla="*/ 2162175 w 2190750"/>
            <a:gd name="connsiteY32" fmla="*/ 253097 h 7769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2190750" h="776972">
              <a:moveTo>
                <a:pt x="2162175" y="253097"/>
              </a:moveTo>
              <a:cubicBezTo>
                <a:pt x="2149475" y="227697"/>
                <a:pt x="2132511" y="218942"/>
                <a:pt x="2114550" y="205472"/>
              </a:cubicBezTo>
              <a:cubicBezTo>
                <a:pt x="2107718" y="200348"/>
                <a:pt x="2051174" y="187247"/>
                <a:pt x="2047875" y="186422"/>
              </a:cubicBezTo>
              <a:cubicBezTo>
                <a:pt x="1965433" y="124591"/>
                <a:pt x="2054873" y="181017"/>
                <a:pt x="1885950" y="148322"/>
              </a:cubicBezTo>
              <a:cubicBezTo>
                <a:pt x="1536446" y="80676"/>
                <a:pt x="1852829" y="118528"/>
                <a:pt x="1619250" y="81647"/>
              </a:cubicBezTo>
              <a:cubicBezTo>
                <a:pt x="1590851" y="77163"/>
                <a:pt x="1562146" y="74848"/>
                <a:pt x="1533525" y="72122"/>
              </a:cubicBezTo>
              <a:cubicBezTo>
                <a:pt x="1286859" y="48630"/>
                <a:pt x="1248849" y="59555"/>
                <a:pt x="885825" y="53072"/>
              </a:cubicBezTo>
              <a:cubicBezTo>
                <a:pt x="624395" y="-34071"/>
                <a:pt x="739445" y="805"/>
                <a:pt x="104775" y="53072"/>
              </a:cubicBezTo>
              <a:cubicBezTo>
                <a:pt x="77925" y="55283"/>
                <a:pt x="59673" y="86125"/>
                <a:pt x="47625" y="110222"/>
              </a:cubicBezTo>
              <a:cubicBezTo>
                <a:pt x="38100" y="129272"/>
                <a:pt x="27700" y="147909"/>
                <a:pt x="19050" y="167372"/>
              </a:cubicBezTo>
              <a:cubicBezTo>
                <a:pt x="8399" y="191336"/>
                <a:pt x="5054" y="218302"/>
                <a:pt x="0" y="243572"/>
              </a:cubicBezTo>
              <a:cubicBezTo>
                <a:pt x="9525" y="307072"/>
                <a:pt x="11882" y="372069"/>
                <a:pt x="28575" y="434072"/>
              </a:cubicBezTo>
              <a:cubicBezTo>
                <a:pt x="34527" y="456180"/>
                <a:pt x="50486" y="475033"/>
                <a:pt x="66675" y="491222"/>
              </a:cubicBezTo>
              <a:cubicBezTo>
                <a:pt x="88900" y="513447"/>
                <a:pt x="107931" y="539410"/>
                <a:pt x="133350" y="557897"/>
              </a:cubicBezTo>
              <a:cubicBezTo>
                <a:pt x="143937" y="565597"/>
                <a:pt x="159193" y="562825"/>
                <a:pt x="171450" y="567422"/>
              </a:cubicBezTo>
              <a:cubicBezTo>
                <a:pt x="210097" y="581915"/>
                <a:pt x="247936" y="598503"/>
                <a:pt x="285750" y="615047"/>
              </a:cubicBezTo>
              <a:cubicBezTo>
                <a:pt x="298759" y="620738"/>
                <a:pt x="309983" y="631046"/>
                <a:pt x="323850" y="634097"/>
              </a:cubicBezTo>
              <a:cubicBezTo>
                <a:pt x="469193" y="666073"/>
                <a:pt x="617624" y="683728"/>
                <a:pt x="762000" y="719822"/>
              </a:cubicBezTo>
              <a:cubicBezTo>
                <a:pt x="831056" y="737086"/>
                <a:pt x="787074" y="728044"/>
                <a:pt x="895350" y="738872"/>
              </a:cubicBezTo>
              <a:cubicBezTo>
                <a:pt x="989549" y="770272"/>
                <a:pt x="944071" y="760358"/>
                <a:pt x="1085850" y="767447"/>
              </a:cubicBezTo>
              <a:cubicBezTo>
                <a:pt x="1168358" y="771572"/>
                <a:pt x="1250950" y="773797"/>
                <a:pt x="1333500" y="776972"/>
              </a:cubicBezTo>
              <a:cubicBezTo>
                <a:pt x="1473200" y="773797"/>
                <a:pt x="1613105" y="775653"/>
                <a:pt x="1752600" y="767447"/>
              </a:cubicBezTo>
              <a:cubicBezTo>
                <a:pt x="1775674" y="766090"/>
                <a:pt x="1797586" y="756388"/>
                <a:pt x="1819275" y="748397"/>
              </a:cubicBezTo>
              <a:cubicBezTo>
                <a:pt x="1858005" y="734128"/>
                <a:pt x="1894418" y="713824"/>
                <a:pt x="1933575" y="700772"/>
              </a:cubicBezTo>
              <a:cubicBezTo>
                <a:pt x="1967723" y="689389"/>
                <a:pt x="1994746" y="681261"/>
                <a:pt x="2028825" y="662672"/>
              </a:cubicBezTo>
              <a:cubicBezTo>
                <a:pt x="2042762" y="655070"/>
                <a:pt x="2054225" y="643622"/>
                <a:pt x="2066925" y="634097"/>
              </a:cubicBezTo>
              <a:cubicBezTo>
                <a:pt x="2073275" y="621397"/>
                <a:pt x="2080702" y="609180"/>
                <a:pt x="2085975" y="595997"/>
              </a:cubicBezTo>
              <a:cubicBezTo>
                <a:pt x="2093433" y="577353"/>
                <a:pt x="2093886" y="555555"/>
                <a:pt x="2105025" y="538847"/>
              </a:cubicBezTo>
              <a:cubicBezTo>
                <a:pt x="2159620" y="456955"/>
                <a:pt x="2094165" y="560567"/>
                <a:pt x="2133600" y="481697"/>
              </a:cubicBezTo>
              <a:cubicBezTo>
                <a:pt x="2138720" y="471458"/>
                <a:pt x="2147530" y="463361"/>
                <a:pt x="2152650" y="453122"/>
              </a:cubicBezTo>
              <a:cubicBezTo>
                <a:pt x="2192085" y="374252"/>
                <a:pt x="2126630" y="477864"/>
                <a:pt x="2181225" y="395972"/>
              </a:cubicBezTo>
              <a:cubicBezTo>
                <a:pt x="2184400" y="383272"/>
                <a:pt x="2190750" y="370963"/>
                <a:pt x="2190750" y="357872"/>
              </a:cubicBezTo>
              <a:cubicBezTo>
                <a:pt x="2190750" y="332274"/>
                <a:pt x="2174875" y="278497"/>
                <a:pt x="2162175" y="253097"/>
              </a:cubicBezTo>
              <a:close/>
            </a:path>
          </a:pathLst>
        </a:cu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v-LV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12</xdr:row>
      <xdr:rowOff>7620</xdr:rowOff>
    </xdr:from>
    <xdr:to>
      <xdr:col>15</xdr:col>
      <xdr:colOff>403860</xdr:colOff>
      <xdr:row>27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07769C-E9F6-440E-AA29-446A9AB81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ija_/Downloads/correlation-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relation in Excel - Examples"/>
      <sheetName val="Correlation coefficient"/>
      <sheetName val="Multiple coefficients"/>
      <sheetName val="Correlation graph"/>
    </sheetNames>
    <sheetDataSet>
      <sheetData sheetId="0" refreshError="1"/>
      <sheetData sheetId="1">
        <row r="1">
          <cell r="C1" t="str">
            <v>Pārdoto sildītāju skaits</v>
          </cell>
        </row>
        <row r="2">
          <cell r="B2">
            <v>-5</v>
          </cell>
          <cell r="C2">
            <v>98</v>
          </cell>
        </row>
        <row r="3">
          <cell r="B3">
            <v>-7</v>
          </cell>
          <cell r="C3">
            <v>100</v>
          </cell>
        </row>
        <row r="4">
          <cell r="B4">
            <v>5</v>
          </cell>
          <cell r="C4">
            <v>75</v>
          </cell>
        </row>
        <row r="5">
          <cell r="B5">
            <v>10</v>
          </cell>
          <cell r="C5">
            <v>67</v>
          </cell>
        </row>
        <row r="6">
          <cell r="B6">
            <v>18</v>
          </cell>
          <cell r="C6">
            <v>24</v>
          </cell>
        </row>
        <row r="7">
          <cell r="B7">
            <v>22</v>
          </cell>
          <cell r="C7">
            <v>26</v>
          </cell>
        </row>
        <row r="8">
          <cell r="B8">
            <v>28</v>
          </cell>
          <cell r="C8">
            <v>25</v>
          </cell>
        </row>
        <row r="9">
          <cell r="B9">
            <v>25</v>
          </cell>
          <cell r="C9">
            <v>27</v>
          </cell>
        </row>
        <row r="10">
          <cell r="B10">
            <v>16</v>
          </cell>
          <cell r="C10">
            <v>40</v>
          </cell>
        </row>
        <row r="11">
          <cell r="B11">
            <v>10</v>
          </cell>
          <cell r="C11">
            <v>55</v>
          </cell>
        </row>
        <row r="12">
          <cell r="B12">
            <v>2</v>
          </cell>
          <cell r="C12">
            <v>88</v>
          </cell>
        </row>
        <row r="13">
          <cell r="B13">
            <v>-3</v>
          </cell>
          <cell r="C13">
            <v>95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showGridLines="0" tabSelected="1" workbookViewId="0">
      <selection activeCell="F31" sqref="F31"/>
    </sheetView>
  </sheetViews>
  <sheetFormatPr defaultRowHeight="15" x14ac:dyDescent="0.25"/>
  <cols>
    <col min="8" max="8" width="57.5703125" customWidth="1"/>
    <col min="9" max="9" width="45.42578125" customWidth="1"/>
    <col min="10" max="10" width="41.42578125" customWidth="1"/>
    <col min="11" max="11" width="17.7109375" customWidth="1"/>
    <col min="13" max="13" width="8.85546875" hidden="1" customWidth="1"/>
  </cols>
  <sheetData>
    <row r="1" spans="1:19" ht="20.25" thickBot="1" x14ac:dyDescent="0.35">
      <c r="A1" s="20" t="s">
        <v>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3"/>
      <c r="M1" s="3"/>
      <c r="N1" s="3"/>
      <c r="O1" s="3"/>
      <c r="P1" s="3"/>
      <c r="Q1" s="3"/>
      <c r="R1" s="3"/>
      <c r="S1" s="3"/>
    </row>
    <row r="2" spans="1:19" s="1" customFormat="1" ht="16.5" thickTop="1" x14ac:dyDescent="0.25"/>
    <row r="3" spans="1:19" s="1" customFormat="1" ht="29.45" customHeight="1" x14ac:dyDescent="0.25">
      <c r="A3" s="1" t="s">
        <v>15</v>
      </c>
      <c r="I3"/>
      <c r="J3"/>
      <c r="K3"/>
      <c r="L3"/>
      <c r="M3"/>
      <c r="N3"/>
      <c r="O3"/>
      <c r="P3"/>
      <c r="Q3"/>
      <c r="R3"/>
      <c r="S3"/>
    </row>
    <row r="4" spans="1:19" s="1" customFormat="1" ht="15.75" x14ac:dyDescent="0.25">
      <c r="B4" s="1" t="s">
        <v>16</v>
      </c>
      <c r="I4"/>
      <c r="J4"/>
      <c r="K4"/>
      <c r="L4"/>
      <c r="M4"/>
      <c r="N4"/>
      <c r="O4"/>
      <c r="P4"/>
      <c r="Q4"/>
      <c r="R4"/>
      <c r="S4"/>
    </row>
    <row r="5" spans="1:19" s="1" customFormat="1" ht="15.75" x14ac:dyDescent="0.25">
      <c r="B5" s="1" t="s">
        <v>12</v>
      </c>
      <c r="I5"/>
      <c r="J5"/>
      <c r="K5"/>
      <c r="L5"/>
      <c r="M5"/>
      <c r="N5"/>
      <c r="O5"/>
      <c r="P5"/>
      <c r="Q5"/>
      <c r="R5"/>
      <c r="S5"/>
    </row>
    <row r="6" spans="1:19" s="1" customFormat="1" ht="15.75" x14ac:dyDescent="0.25">
      <c r="B6" s="1" t="s">
        <v>13</v>
      </c>
      <c r="I6"/>
      <c r="J6"/>
      <c r="K6"/>
      <c r="L6"/>
      <c r="M6"/>
      <c r="N6"/>
      <c r="O6"/>
      <c r="P6"/>
      <c r="Q6"/>
      <c r="R6"/>
      <c r="S6"/>
    </row>
    <row r="7" spans="1:19" s="1" customFormat="1" ht="15.75" x14ac:dyDescent="0.25">
      <c r="B7" s="1" t="s">
        <v>14</v>
      </c>
      <c r="I7"/>
      <c r="J7"/>
      <c r="K7"/>
      <c r="L7"/>
      <c r="M7"/>
      <c r="N7"/>
      <c r="O7"/>
      <c r="P7"/>
      <c r="Q7"/>
      <c r="R7"/>
      <c r="S7"/>
    </row>
    <row r="8" spans="1:19" s="1" customFormat="1" ht="15.75" x14ac:dyDescent="0.25">
      <c r="A8" s="1" t="s">
        <v>17</v>
      </c>
      <c r="I8"/>
      <c r="J8"/>
      <c r="K8"/>
      <c r="L8"/>
      <c r="M8"/>
      <c r="N8"/>
      <c r="O8"/>
      <c r="P8"/>
      <c r="Q8"/>
      <c r="R8"/>
      <c r="S8"/>
    </row>
    <row r="9" spans="1:19" s="1" customFormat="1" ht="15.75" x14ac:dyDescent="0.25">
      <c r="A9" s="1" t="s">
        <v>19</v>
      </c>
      <c r="I9"/>
      <c r="J9"/>
      <c r="K9"/>
      <c r="L9"/>
      <c r="M9"/>
      <c r="N9"/>
      <c r="O9"/>
      <c r="P9"/>
      <c r="Q9"/>
      <c r="R9"/>
      <c r="S9"/>
    </row>
    <row r="10" spans="1:19" s="1" customFormat="1" ht="15.75" x14ac:dyDescent="0.25">
      <c r="A10" s="4" t="s">
        <v>21</v>
      </c>
      <c r="I10"/>
      <c r="J10"/>
      <c r="K10"/>
      <c r="L10"/>
      <c r="M10"/>
      <c r="N10"/>
      <c r="O10"/>
      <c r="P10"/>
      <c r="Q10"/>
      <c r="R10"/>
      <c r="S10"/>
    </row>
    <row r="11" spans="1:19" s="1" customFormat="1" ht="15.75" x14ac:dyDescent="0.25">
      <c r="A11" s="4" t="s">
        <v>18</v>
      </c>
      <c r="I11"/>
      <c r="J11"/>
      <c r="K11"/>
      <c r="L11"/>
      <c r="M11"/>
      <c r="N11"/>
      <c r="O11"/>
      <c r="P11"/>
      <c r="Q11"/>
      <c r="R11"/>
      <c r="S11"/>
    </row>
    <row r="12" spans="1:19" s="1" customFormat="1" ht="15.75" x14ac:dyDescent="0.25">
      <c r="I12"/>
      <c r="J12"/>
      <c r="K12"/>
      <c r="L12"/>
      <c r="M12"/>
      <c r="N12"/>
      <c r="O12"/>
      <c r="P12"/>
      <c r="Q12"/>
      <c r="R12"/>
      <c r="S12"/>
    </row>
    <row r="13" spans="1:19" s="1" customFormat="1" ht="15.75" x14ac:dyDescent="0.25">
      <c r="I13"/>
      <c r="J13"/>
      <c r="K13"/>
      <c r="L13"/>
      <c r="M13"/>
      <c r="N13"/>
      <c r="O13"/>
      <c r="P13"/>
      <c r="Q13"/>
      <c r="R13"/>
      <c r="S13"/>
    </row>
    <row r="14" spans="1:19" s="1" customFormat="1" ht="15.75" x14ac:dyDescent="0.25">
      <c r="I14"/>
      <c r="J14"/>
      <c r="K14"/>
      <c r="L14"/>
      <c r="M14"/>
      <c r="N14"/>
      <c r="O14"/>
      <c r="P14"/>
      <c r="Q14"/>
      <c r="R14"/>
      <c r="S14"/>
    </row>
    <row r="15" spans="1:19" s="1" customFormat="1" ht="15.75" x14ac:dyDescent="0.25">
      <c r="A15" s="4" t="s">
        <v>22</v>
      </c>
      <c r="I15"/>
      <c r="J15"/>
      <c r="K15"/>
      <c r="L15"/>
      <c r="M15"/>
      <c r="N15"/>
      <c r="O15"/>
      <c r="P15"/>
      <c r="Q15"/>
      <c r="R15"/>
      <c r="S15"/>
    </row>
    <row r="16" spans="1:19" s="1" customFormat="1" ht="15.75" x14ac:dyDescent="0.25">
      <c r="A16" s="1" t="s">
        <v>20</v>
      </c>
      <c r="I16"/>
      <c r="J16"/>
      <c r="K16"/>
      <c r="L16"/>
      <c r="M16"/>
      <c r="N16"/>
      <c r="O16"/>
      <c r="P16"/>
      <c r="Q16"/>
      <c r="R16"/>
      <c r="S16"/>
    </row>
    <row r="17" spans="2:19" s="1" customFormat="1" ht="15.75" x14ac:dyDescent="0.25">
      <c r="I17"/>
      <c r="J17"/>
      <c r="K17"/>
      <c r="L17"/>
      <c r="M17"/>
      <c r="N17"/>
      <c r="O17"/>
      <c r="P17"/>
      <c r="Q17"/>
      <c r="R17"/>
      <c r="S17"/>
    </row>
    <row r="18" spans="2:19" s="1" customFormat="1" ht="15.75" x14ac:dyDescent="0.25">
      <c r="B18" s="2" t="s">
        <v>0</v>
      </c>
      <c r="I18"/>
      <c r="J18"/>
      <c r="K18"/>
      <c r="L18"/>
      <c r="M18"/>
      <c r="N18"/>
      <c r="O18"/>
      <c r="P18"/>
      <c r="Q18"/>
      <c r="R18"/>
      <c r="S18"/>
    </row>
    <row r="19" spans="2:19" s="1" customFormat="1" ht="15.75" x14ac:dyDescent="0.25">
      <c r="B19" s="1" t="s">
        <v>183</v>
      </c>
      <c r="I19"/>
      <c r="J19"/>
      <c r="K19"/>
      <c r="L19"/>
      <c r="M19"/>
      <c r="N19"/>
      <c r="O19"/>
      <c r="P19"/>
      <c r="Q19"/>
      <c r="R19"/>
      <c r="S19"/>
    </row>
    <row r="20" spans="2:19" s="1" customFormat="1" ht="15.75" x14ac:dyDescent="0.25">
      <c r="C20" s="4" t="s">
        <v>184</v>
      </c>
      <c r="I20"/>
      <c r="J20"/>
      <c r="K20"/>
      <c r="L20"/>
      <c r="M20"/>
      <c r="N20"/>
      <c r="O20"/>
      <c r="P20"/>
      <c r="Q20"/>
      <c r="R20"/>
      <c r="S20"/>
    </row>
    <row r="21" spans="2:19" s="1" customFormat="1" ht="15.75" x14ac:dyDescent="0.25">
      <c r="C21" s="1" t="s">
        <v>185</v>
      </c>
      <c r="I21"/>
      <c r="J21"/>
      <c r="K21"/>
      <c r="L21"/>
      <c r="M21"/>
      <c r="N21"/>
      <c r="O21"/>
      <c r="P21"/>
      <c r="Q21"/>
      <c r="R21"/>
      <c r="S21"/>
    </row>
    <row r="22" spans="2:19" s="1" customFormat="1" ht="15.75" x14ac:dyDescent="0.25">
      <c r="B22" s="1" t="s">
        <v>186</v>
      </c>
      <c r="I22"/>
      <c r="J22"/>
      <c r="K22"/>
      <c r="L22"/>
      <c r="M22"/>
      <c r="N22"/>
      <c r="O22"/>
      <c r="P22"/>
      <c r="Q22"/>
      <c r="R22"/>
      <c r="S22"/>
    </row>
    <row r="23" spans="2:19" s="1" customFormat="1" ht="15.75" x14ac:dyDescent="0.25">
      <c r="B23" s="1" t="s">
        <v>187</v>
      </c>
      <c r="I23"/>
      <c r="J23"/>
      <c r="K23"/>
      <c r="L23"/>
      <c r="M23"/>
      <c r="N23"/>
      <c r="O23"/>
      <c r="P23"/>
      <c r="Q23"/>
      <c r="R23"/>
      <c r="S23"/>
    </row>
    <row r="24" spans="2:19" s="1" customFormat="1" ht="15.75" x14ac:dyDescent="0.25">
      <c r="C24" s="21" t="s">
        <v>188</v>
      </c>
      <c r="I24"/>
      <c r="J24"/>
      <c r="K24"/>
      <c r="L24"/>
      <c r="M24"/>
      <c r="N24"/>
      <c r="O24"/>
      <c r="P24"/>
      <c r="Q24"/>
      <c r="R24"/>
      <c r="S24"/>
    </row>
    <row r="25" spans="2:19" s="1" customFormat="1" ht="15.75" x14ac:dyDescent="0.25">
      <c r="I25"/>
      <c r="J25"/>
      <c r="K25"/>
      <c r="L25"/>
      <c r="M25"/>
      <c r="N25"/>
      <c r="O25"/>
      <c r="P25"/>
      <c r="Q25"/>
      <c r="R25"/>
      <c r="S25"/>
    </row>
    <row r="26" spans="2:19" s="1" customFormat="1" ht="15.75" x14ac:dyDescent="0.25">
      <c r="B26" s="22" t="s">
        <v>23</v>
      </c>
      <c r="C26" s="22"/>
      <c r="D26" s="22"/>
      <c r="E26" s="22"/>
      <c r="F26" s="22"/>
      <c r="G26" s="22"/>
      <c r="I26"/>
      <c r="J26"/>
      <c r="K26"/>
      <c r="L26"/>
      <c r="M26"/>
      <c r="N26"/>
      <c r="O26"/>
      <c r="P26"/>
      <c r="Q26"/>
      <c r="R26"/>
      <c r="S26"/>
    </row>
    <row r="27" spans="2:19" s="1" customFormat="1" ht="15.75" x14ac:dyDescent="0.25">
      <c r="B27" s="2"/>
      <c r="I27"/>
      <c r="J27"/>
      <c r="K27"/>
      <c r="L27"/>
      <c r="M27"/>
      <c r="N27"/>
      <c r="O27"/>
      <c r="P27"/>
      <c r="Q27"/>
      <c r="R27"/>
      <c r="S27"/>
    </row>
    <row r="28" spans="2:19" s="1" customFormat="1" ht="15.75" x14ac:dyDescent="0.25">
      <c r="B28" s="19"/>
      <c r="C28" s="19"/>
      <c r="D28" s="19"/>
      <c r="E28" s="19"/>
      <c r="F28" s="19"/>
      <c r="G28" s="19"/>
      <c r="H28" s="19"/>
      <c r="I28"/>
      <c r="J28"/>
      <c r="K28"/>
      <c r="L28"/>
      <c r="M28"/>
      <c r="N28"/>
      <c r="O28"/>
      <c r="P28"/>
      <c r="Q28"/>
      <c r="R28"/>
      <c r="S28"/>
    </row>
    <row r="29" spans="2:19" s="1" customFormat="1" ht="15.75" x14ac:dyDescent="0.25">
      <c r="B29" s="19"/>
      <c r="C29" s="19"/>
      <c r="D29" s="19"/>
      <c r="E29" s="19"/>
      <c r="F29" s="19"/>
      <c r="G29" s="19"/>
      <c r="H29" s="19"/>
      <c r="I29"/>
      <c r="J29"/>
      <c r="K29"/>
      <c r="L29"/>
      <c r="M29"/>
      <c r="N29"/>
      <c r="O29"/>
      <c r="P29"/>
      <c r="Q29"/>
      <c r="R29"/>
      <c r="S29"/>
    </row>
    <row r="30" spans="2:19" s="1" customFormat="1" ht="15.75" x14ac:dyDescent="0.25">
      <c r="I30"/>
      <c r="J30"/>
      <c r="K30"/>
      <c r="L30"/>
      <c r="M30"/>
      <c r="N30"/>
      <c r="O30"/>
      <c r="P30"/>
      <c r="Q30"/>
      <c r="R30"/>
      <c r="S30"/>
    </row>
    <row r="31" spans="2:19" s="1" customFormat="1" ht="15.75" x14ac:dyDescent="0.25">
      <c r="I31"/>
      <c r="J31"/>
      <c r="K31"/>
      <c r="L31"/>
      <c r="M31"/>
      <c r="N31"/>
      <c r="O31"/>
      <c r="P31"/>
      <c r="Q31"/>
      <c r="R31"/>
      <c r="S31"/>
    </row>
    <row r="32" spans="2:19" s="1" customFormat="1" ht="15.75" x14ac:dyDescent="0.25">
      <c r="I32"/>
      <c r="J32"/>
      <c r="K32"/>
      <c r="L32"/>
      <c r="M32"/>
      <c r="N32"/>
      <c r="O32"/>
      <c r="P32"/>
      <c r="Q32"/>
      <c r="R32"/>
      <c r="S32"/>
    </row>
    <row r="33" spans="2:19" s="1" customFormat="1" ht="15.75" x14ac:dyDescent="0.25">
      <c r="I33"/>
      <c r="J33"/>
      <c r="K33"/>
      <c r="L33"/>
      <c r="M33"/>
      <c r="N33"/>
      <c r="O33"/>
      <c r="P33"/>
      <c r="Q33"/>
      <c r="R33"/>
      <c r="S33"/>
    </row>
    <row r="34" spans="2:19" s="1" customFormat="1" ht="15.75" x14ac:dyDescent="0.25">
      <c r="I34"/>
      <c r="J34"/>
      <c r="K34"/>
      <c r="L34"/>
      <c r="M34"/>
      <c r="N34"/>
      <c r="O34"/>
      <c r="P34"/>
      <c r="Q34"/>
      <c r="R34"/>
      <c r="S34"/>
    </row>
    <row r="35" spans="2:19" s="1" customFormat="1" ht="15.75" x14ac:dyDescent="0.25">
      <c r="I35"/>
      <c r="J35"/>
      <c r="K35"/>
      <c r="L35"/>
      <c r="M35"/>
      <c r="N35"/>
      <c r="O35"/>
      <c r="P35"/>
      <c r="Q35"/>
      <c r="R35"/>
      <c r="S35"/>
    </row>
    <row r="36" spans="2:19" s="1" customFormat="1" ht="15.75" x14ac:dyDescent="0.25">
      <c r="B36" s="2"/>
      <c r="I36"/>
      <c r="J36"/>
      <c r="K36"/>
      <c r="L36"/>
      <c r="M36"/>
      <c r="N36"/>
      <c r="O36"/>
      <c r="P36"/>
      <c r="Q36"/>
      <c r="R36"/>
      <c r="S36"/>
    </row>
    <row r="37" spans="2:19" s="1" customFormat="1" ht="15.75" x14ac:dyDescent="0.25">
      <c r="I37"/>
      <c r="J37"/>
      <c r="K37"/>
      <c r="L37"/>
      <c r="M37"/>
      <c r="N37"/>
      <c r="O37"/>
      <c r="P37"/>
      <c r="Q37"/>
      <c r="R37"/>
      <c r="S37"/>
    </row>
    <row r="38" spans="2:19" s="1" customFormat="1" ht="15.75" x14ac:dyDescent="0.25">
      <c r="I38"/>
      <c r="J38"/>
      <c r="K38"/>
      <c r="L38"/>
      <c r="M38"/>
      <c r="N38"/>
      <c r="O38"/>
      <c r="P38"/>
      <c r="Q38"/>
      <c r="R38"/>
      <c r="S38"/>
    </row>
    <row r="39" spans="2:19" s="1" customFormat="1" ht="15.75" x14ac:dyDescent="0.25">
      <c r="I39"/>
      <c r="J39"/>
      <c r="K39"/>
      <c r="L39"/>
      <c r="M39"/>
      <c r="N39"/>
      <c r="O39"/>
      <c r="P39"/>
      <c r="Q39"/>
      <c r="R39"/>
      <c r="S39"/>
    </row>
  </sheetData>
  <mergeCells count="2">
    <mergeCell ref="B28:H29"/>
    <mergeCell ref="A1:K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4BCC-5B85-47D1-9A83-6F5BEC19D17D}">
  <dimension ref="A1:S46"/>
  <sheetViews>
    <sheetView showGridLines="0" workbookViewId="0">
      <selection activeCell="A38" sqref="A38"/>
    </sheetView>
  </sheetViews>
  <sheetFormatPr defaultRowHeight="15" x14ac:dyDescent="0.25"/>
  <cols>
    <col min="8" max="8" width="57.5703125" customWidth="1"/>
    <col min="9" max="9" width="45.42578125" customWidth="1"/>
    <col min="10" max="10" width="41.42578125" customWidth="1"/>
    <col min="11" max="11" width="17.7109375" customWidth="1"/>
    <col min="13" max="13" width="8.85546875" hidden="1" customWidth="1"/>
  </cols>
  <sheetData>
    <row r="1" spans="1:19" ht="20.25" thickBot="1" x14ac:dyDescent="0.3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3"/>
      <c r="M1" s="3"/>
      <c r="N1" s="3"/>
      <c r="O1" s="3"/>
      <c r="P1" s="3"/>
      <c r="Q1" s="3"/>
      <c r="R1" s="3"/>
      <c r="S1" s="3"/>
    </row>
    <row r="2" spans="1:19" s="1" customFormat="1" ht="16.5" thickTop="1" x14ac:dyDescent="0.25">
      <c r="A2" s="1" t="s">
        <v>24</v>
      </c>
    </row>
    <row r="3" spans="1:19" s="1" customFormat="1" ht="29.45" customHeight="1" x14ac:dyDescent="0.25">
      <c r="I3"/>
      <c r="J3"/>
      <c r="K3"/>
      <c r="L3"/>
      <c r="M3"/>
      <c r="N3"/>
      <c r="O3"/>
      <c r="P3"/>
      <c r="Q3"/>
      <c r="R3"/>
      <c r="S3"/>
    </row>
    <row r="4" spans="1:19" s="1" customFormat="1" ht="15.75" x14ac:dyDescent="0.25">
      <c r="A4" s="1" t="s">
        <v>26</v>
      </c>
      <c r="I4"/>
      <c r="J4"/>
      <c r="K4"/>
      <c r="L4"/>
      <c r="M4"/>
      <c r="N4"/>
      <c r="O4"/>
      <c r="P4"/>
      <c r="Q4"/>
      <c r="R4"/>
      <c r="S4"/>
    </row>
    <row r="5" spans="1:19" s="1" customFormat="1" ht="15.75" x14ac:dyDescent="0.25">
      <c r="A5" s="1" t="s">
        <v>27</v>
      </c>
      <c r="I5"/>
      <c r="J5"/>
      <c r="K5"/>
      <c r="L5"/>
      <c r="M5"/>
      <c r="N5"/>
      <c r="O5"/>
      <c r="P5"/>
      <c r="Q5"/>
      <c r="R5"/>
      <c r="S5"/>
    </row>
    <row r="6" spans="1:19" s="1" customFormat="1" ht="15.75" x14ac:dyDescent="0.25">
      <c r="A6" s="1" t="s">
        <v>28</v>
      </c>
      <c r="I6"/>
      <c r="J6"/>
      <c r="K6"/>
      <c r="L6"/>
      <c r="M6"/>
      <c r="N6"/>
      <c r="O6"/>
      <c r="P6"/>
      <c r="Q6"/>
      <c r="R6"/>
      <c r="S6"/>
    </row>
    <row r="7" spans="1:19" s="1" customFormat="1" ht="15.75" x14ac:dyDescent="0.25">
      <c r="I7"/>
      <c r="J7"/>
      <c r="K7"/>
      <c r="L7"/>
      <c r="M7"/>
      <c r="N7"/>
      <c r="O7"/>
      <c r="P7"/>
      <c r="Q7"/>
      <c r="R7"/>
      <c r="S7"/>
    </row>
    <row r="8" spans="1:19" s="1" customFormat="1" ht="15.75" x14ac:dyDescent="0.25">
      <c r="A8" s="1" t="s">
        <v>29</v>
      </c>
      <c r="I8"/>
      <c r="J8"/>
      <c r="K8"/>
      <c r="L8"/>
      <c r="M8"/>
      <c r="N8"/>
      <c r="O8"/>
      <c r="P8"/>
      <c r="Q8"/>
      <c r="R8"/>
      <c r="S8"/>
    </row>
    <row r="9" spans="1:19" s="1" customFormat="1" ht="15.75" x14ac:dyDescent="0.25">
      <c r="A9" s="1" t="s">
        <v>31</v>
      </c>
      <c r="I9"/>
      <c r="J9"/>
      <c r="K9"/>
      <c r="L9"/>
      <c r="M9"/>
      <c r="N9"/>
      <c r="O9"/>
      <c r="P9"/>
      <c r="Q9"/>
      <c r="R9"/>
      <c r="S9"/>
    </row>
    <row r="10" spans="1:19" s="1" customFormat="1" ht="15.75" x14ac:dyDescent="0.25">
      <c r="A10" s="4" t="s">
        <v>30</v>
      </c>
      <c r="I10"/>
      <c r="J10"/>
      <c r="K10"/>
      <c r="L10"/>
      <c r="M10"/>
      <c r="N10"/>
      <c r="O10"/>
      <c r="P10"/>
      <c r="Q10"/>
      <c r="R10"/>
      <c r="S10"/>
    </row>
    <row r="11" spans="1:19" s="1" customFormat="1" ht="15.75" x14ac:dyDescent="0.25">
      <c r="A11" s="4" t="s">
        <v>32</v>
      </c>
      <c r="I11"/>
      <c r="J11"/>
      <c r="K11"/>
      <c r="L11"/>
      <c r="M11"/>
      <c r="N11"/>
      <c r="O11"/>
      <c r="P11"/>
      <c r="Q11"/>
      <c r="R11"/>
      <c r="S11"/>
    </row>
    <row r="12" spans="1:19" s="1" customFormat="1" ht="15.75" x14ac:dyDescent="0.25">
      <c r="A12" s="1" t="s">
        <v>33</v>
      </c>
      <c r="I12"/>
      <c r="J12"/>
      <c r="K12"/>
      <c r="L12"/>
      <c r="M12"/>
      <c r="N12"/>
      <c r="O12"/>
      <c r="P12"/>
      <c r="Q12"/>
      <c r="R12"/>
      <c r="S12"/>
    </row>
    <row r="13" spans="1:19" s="1" customFormat="1" ht="15.75" x14ac:dyDescent="0.25">
      <c r="I13"/>
      <c r="J13"/>
      <c r="K13"/>
      <c r="L13"/>
      <c r="M13"/>
      <c r="N13"/>
      <c r="O13"/>
      <c r="P13"/>
      <c r="Q13"/>
      <c r="R13"/>
      <c r="S13"/>
    </row>
    <row r="14" spans="1:19" s="1" customFormat="1" ht="15.75" x14ac:dyDescent="0.25">
      <c r="A14" s="1" t="s">
        <v>34</v>
      </c>
      <c r="I14"/>
      <c r="J14"/>
      <c r="K14"/>
      <c r="L14"/>
      <c r="M14"/>
      <c r="N14"/>
      <c r="O14"/>
      <c r="P14"/>
      <c r="Q14"/>
      <c r="R14"/>
      <c r="S14"/>
    </row>
    <row r="15" spans="1:19" s="1" customFormat="1" ht="15.75" x14ac:dyDescent="0.25">
      <c r="A15" s="4"/>
      <c r="I15"/>
      <c r="J15"/>
      <c r="K15"/>
      <c r="L15"/>
      <c r="M15"/>
      <c r="N15"/>
      <c r="O15"/>
      <c r="P15"/>
      <c r="Q15"/>
      <c r="R15"/>
      <c r="S15"/>
    </row>
    <row r="16" spans="1:19" s="1" customFormat="1" ht="15.75" x14ac:dyDescent="0.25">
      <c r="I16"/>
      <c r="J16"/>
      <c r="K16"/>
      <c r="L16"/>
      <c r="M16"/>
      <c r="N16"/>
      <c r="O16"/>
      <c r="P16"/>
      <c r="Q16"/>
      <c r="R16"/>
      <c r="S16"/>
    </row>
    <row r="17" spans="1:19" s="1" customFormat="1" ht="15.75" x14ac:dyDescent="0.25">
      <c r="I17"/>
      <c r="J17"/>
      <c r="K17"/>
      <c r="L17"/>
      <c r="M17"/>
      <c r="N17"/>
      <c r="O17"/>
      <c r="P17"/>
      <c r="Q17"/>
      <c r="R17"/>
      <c r="S17"/>
    </row>
    <row r="18" spans="1:19" s="1" customFormat="1" ht="15.75" x14ac:dyDescent="0.25">
      <c r="B18" s="2"/>
      <c r="I18"/>
      <c r="J18"/>
      <c r="K18"/>
      <c r="L18"/>
      <c r="M18"/>
      <c r="N18"/>
      <c r="O18"/>
      <c r="P18"/>
      <c r="Q18"/>
      <c r="R18"/>
      <c r="S18"/>
    </row>
    <row r="19" spans="1:19" s="1" customFormat="1" ht="15.75" x14ac:dyDescent="0.25">
      <c r="I19"/>
      <c r="J19"/>
      <c r="K19"/>
      <c r="L19"/>
      <c r="M19"/>
      <c r="N19"/>
      <c r="O19"/>
      <c r="P19"/>
      <c r="Q19"/>
      <c r="R19"/>
      <c r="S19"/>
    </row>
    <row r="20" spans="1:19" s="1" customFormat="1" ht="15.75" x14ac:dyDescent="0.25">
      <c r="I20"/>
      <c r="J20"/>
      <c r="K20"/>
      <c r="L20"/>
      <c r="M20"/>
      <c r="N20"/>
      <c r="O20"/>
      <c r="P20"/>
      <c r="Q20"/>
      <c r="R20"/>
      <c r="S20"/>
    </row>
    <row r="21" spans="1:19" s="1" customFormat="1" ht="15.75" x14ac:dyDescent="0.25">
      <c r="I21"/>
      <c r="J21"/>
      <c r="K21"/>
      <c r="L21"/>
      <c r="M21"/>
      <c r="N21"/>
      <c r="O21"/>
      <c r="P21"/>
      <c r="Q21"/>
      <c r="R21"/>
      <c r="S21"/>
    </row>
    <row r="22" spans="1:19" s="1" customFormat="1" ht="15.75" x14ac:dyDescent="0.25">
      <c r="C22" s="4"/>
      <c r="I22"/>
      <c r="J22"/>
      <c r="K22"/>
      <c r="L22"/>
      <c r="M22"/>
      <c r="N22"/>
      <c r="O22"/>
      <c r="P22"/>
      <c r="Q22"/>
      <c r="R22"/>
      <c r="S22"/>
    </row>
    <row r="23" spans="1:19" s="1" customFormat="1" ht="15.75" x14ac:dyDescent="0.25">
      <c r="I23"/>
      <c r="J23"/>
      <c r="K23"/>
      <c r="L23"/>
      <c r="M23"/>
      <c r="N23"/>
      <c r="O23"/>
      <c r="P23"/>
      <c r="Q23"/>
      <c r="R23"/>
      <c r="S23"/>
    </row>
    <row r="24" spans="1:19" s="1" customFormat="1" ht="15.75" x14ac:dyDescent="0.25">
      <c r="I24"/>
      <c r="J24"/>
      <c r="K24"/>
      <c r="L24"/>
      <c r="M24"/>
      <c r="N24"/>
      <c r="O24"/>
      <c r="P24"/>
      <c r="Q24"/>
      <c r="R24"/>
      <c r="S24"/>
    </row>
    <row r="25" spans="1:19" s="1" customFormat="1" ht="15.75" x14ac:dyDescent="0.25">
      <c r="B25" s="2"/>
      <c r="I25"/>
      <c r="J25"/>
      <c r="K25"/>
      <c r="L25"/>
      <c r="M25"/>
      <c r="N25"/>
      <c r="O25"/>
      <c r="P25"/>
      <c r="Q25"/>
      <c r="R25"/>
      <c r="S25"/>
    </row>
    <row r="26" spans="1:19" s="1" customFormat="1" ht="15.75" x14ac:dyDescent="0.25">
      <c r="I26"/>
      <c r="J26"/>
      <c r="K26"/>
      <c r="L26"/>
      <c r="M26"/>
      <c r="N26"/>
      <c r="O26"/>
      <c r="P26"/>
      <c r="Q26"/>
      <c r="R26"/>
      <c r="S26"/>
    </row>
    <row r="27" spans="1:19" s="1" customFormat="1" ht="15.75" x14ac:dyDescent="0.25">
      <c r="B27" s="2"/>
      <c r="I27"/>
      <c r="J27"/>
      <c r="K27"/>
      <c r="L27"/>
      <c r="M27"/>
      <c r="N27"/>
      <c r="O27"/>
      <c r="P27"/>
      <c r="Q27"/>
      <c r="R27"/>
      <c r="S27"/>
    </row>
    <row r="28" spans="1:19" s="1" customFormat="1" ht="15.75" x14ac:dyDescent="0.25">
      <c r="B28" s="19"/>
      <c r="C28" s="19"/>
      <c r="D28" s="19"/>
      <c r="E28" s="19"/>
      <c r="F28" s="19"/>
      <c r="G28" s="19"/>
      <c r="H28" s="19"/>
      <c r="I28"/>
      <c r="J28"/>
      <c r="K28"/>
      <c r="L28"/>
      <c r="M28"/>
      <c r="N28"/>
      <c r="O28"/>
      <c r="P28"/>
      <c r="Q28"/>
      <c r="R28"/>
      <c r="S28"/>
    </row>
    <row r="29" spans="1:19" s="1" customFormat="1" ht="15.75" x14ac:dyDescent="0.25">
      <c r="B29" s="19"/>
      <c r="C29" s="19"/>
      <c r="D29" s="19"/>
      <c r="E29" s="19"/>
      <c r="F29" s="19"/>
      <c r="G29" s="19"/>
      <c r="H29" s="19"/>
      <c r="I29"/>
      <c r="J29"/>
      <c r="K29"/>
      <c r="L29"/>
      <c r="M29"/>
      <c r="N29"/>
      <c r="O29"/>
      <c r="P29"/>
      <c r="Q29"/>
      <c r="R29"/>
      <c r="S29"/>
    </row>
    <row r="30" spans="1:19" s="1" customFormat="1" ht="15.75" x14ac:dyDescent="0.25">
      <c r="I30"/>
      <c r="J30"/>
      <c r="K30"/>
      <c r="L30"/>
      <c r="M30"/>
      <c r="N30"/>
      <c r="O30"/>
      <c r="P30"/>
      <c r="Q30"/>
      <c r="R30"/>
      <c r="S30"/>
    </row>
    <row r="31" spans="1:19" s="1" customFormat="1" ht="15.75" x14ac:dyDescent="0.25">
      <c r="A31" s="1" t="s">
        <v>35</v>
      </c>
      <c r="I31"/>
      <c r="J31"/>
      <c r="K31"/>
      <c r="L31"/>
      <c r="M31"/>
      <c r="N31"/>
      <c r="O31"/>
      <c r="P31"/>
      <c r="Q31"/>
      <c r="R31"/>
      <c r="S31"/>
    </row>
    <row r="32" spans="1:19" s="1" customFormat="1" ht="15.75" x14ac:dyDescent="0.25">
      <c r="A32" s="1" t="s">
        <v>44</v>
      </c>
      <c r="I32"/>
      <c r="J32"/>
      <c r="K32"/>
      <c r="L32"/>
      <c r="M32"/>
      <c r="N32"/>
      <c r="O32"/>
      <c r="P32"/>
      <c r="Q32"/>
      <c r="R32"/>
      <c r="S32"/>
    </row>
    <row r="33" spans="1:19" s="1" customFormat="1" ht="15.75" x14ac:dyDescent="0.25">
      <c r="A33" s="1" t="s">
        <v>36</v>
      </c>
      <c r="I33"/>
      <c r="J33"/>
      <c r="K33"/>
      <c r="L33"/>
      <c r="M33"/>
      <c r="N33"/>
      <c r="O33"/>
      <c r="P33"/>
      <c r="Q33"/>
      <c r="R33"/>
      <c r="S33"/>
    </row>
    <row r="34" spans="1:19" s="1" customFormat="1" ht="15.75" x14ac:dyDescent="0.25">
      <c r="A34" s="1" t="s">
        <v>45</v>
      </c>
      <c r="I34"/>
      <c r="J34"/>
      <c r="K34"/>
      <c r="L34"/>
      <c r="M34"/>
      <c r="N34"/>
      <c r="O34"/>
      <c r="P34"/>
      <c r="Q34"/>
      <c r="R34"/>
      <c r="S34"/>
    </row>
    <row r="35" spans="1:19" s="1" customFormat="1" ht="15.75" x14ac:dyDescent="0.25">
      <c r="A35" s="1" t="s">
        <v>46</v>
      </c>
      <c r="I35"/>
      <c r="J35"/>
      <c r="K35"/>
      <c r="L35"/>
      <c r="M35"/>
      <c r="N35"/>
      <c r="O35"/>
      <c r="P35"/>
      <c r="Q35"/>
      <c r="R35"/>
      <c r="S35"/>
    </row>
    <row r="36" spans="1:19" s="1" customFormat="1" ht="15.75" x14ac:dyDescent="0.25">
      <c r="A36" s="1" t="s">
        <v>47</v>
      </c>
      <c r="B36" s="2"/>
      <c r="I36"/>
      <c r="J36"/>
      <c r="K36"/>
      <c r="L36"/>
      <c r="M36"/>
      <c r="N36"/>
      <c r="O36"/>
      <c r="P36"/>
      <c r="Q36"/>
      <c r="R36"/>
      <c r="S36"/>
    </row>
    <row r="37" spans="1:19" s="1" customFormat="1" ht="15.75" x14ac:dyDescent="0.25">
      <c r="A37" s="1" t="s">
        <v>48</v>
      </c>
      <c r="I37"/>
      <c r="J37"/>
      <c r="K37"/>
      <c r="L37"/>
      <c r="M37"/>
      <c r="N37"/>
      <c r="O37"/>
      <c r="P37"/>
      <c r="Q37"/>
      <c r="R37"/>
      <c r="S37"/>
    </row>
    <row r="38" spans="1:19" s="1" customFormat="1" ht="15.75" x14ac:dyDescent="0.25">
      <c r="A38" s="1" t="s">
        <v>37</v>
      </c>
      <c r="I38"/>
      <c r="J38"/>
      <c r="K38"/>
      <c r="L38"/>
      <c r="M38"/>
      <c r="N38"/>
      <c r="O38"/>
      <c r="P38"/>
      <c r="Q38"/>
      <c r="R38"/>
      <c r="S38"/>
    </row>
    <row r="39" spans="1:19" s="1" customFormat="1" ht="15.75" x14ac:dyDescent="0.25">
      <c r="I39"/>
      <c r="J39"/>
      <c r="K39"/>
      <c r="L39"/>
      <c r="M39"/>
      <c r="N39"/>
      <c r="O39"/>
      <c r="P39"/>
      <c r="Q39"/>
      <c r="R39"/>
      <c r="S39"/>
    </row>
    <row r="40" spans="1:19" ht="15.75" x14ac:dyDescent="0.25">
      <c r="B40" s="2" t="s">
        <v>0</v>
      </c>
    </row>
    <row r="41" spans="1:19" ht="15.75" x14ac:dyDescent="0.25">
      <c r="B41" s="1" t="s">
        <v>38</v>
      </c>
    </row>
    <row r="43" spans="1:19" ht="15.75" x14ac:dyDescent="0.25">
      <c r="B43" s="1" t="s">
        <v>39</v>
      </c>
    </row>
    <row r="44" spans="1:19" ht="15.75" x14ac:dyDescent="0.25">
      <c r="B44" s="1" t="s">
        <v>41</v>
      </c>
    </row>
    <row r="46" spans="1:19" ht="15.75" x14ac:dyDescent="0.25">
      <c r="B46" s="1" t="s">
        <v>40</v>
      </c>
    </row>
  </sheetData>
  <mergeCells count="2">
    <mergeCell ref="A1:K1"/>
    <mergeCell ref="B28:H2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6366-C2EE-4E6B-84EE-1CE190D2A294}">
  <dimension ref="A1:K42"/>
  <sheetViews>
    <sheetView workbookViewId="0">
      <selection sqref="A1:K1"/>
    </sheetView>
  </sheetViews>
  <sheetFormatPr defaultRowHeight="15" x14ac:dyDescent="0.25"/>
  <cols>
    <col min="1" max="1" width="26.42578125" customWidth="1"/>
  </cols>
  <sheetData>
    <row r="1" spans="1:11" ht="20.25" thickBot="1" x14ac:dyDescent="0.35">
      <c r="A1" s="20" t="s">
        <v>43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6.5" thickTop="1" x14ac:dyDescent="0.25">
      <c r="A2" s="4" t="s">
        <v>42</v>
      </c>
    </row>
    <row r="4" spans="1:11" x14ac:dyDescent="0.25">
      <c r="A4" t="s">
        <v>77</v>
      </c>
    </row>
    <row r="5" spans="1:11" x14ac:dyDescent="0.25">
      <c r="A5" s="5" t="s">
        <v>10</v>
      </c>
      <c r="B5">
        <v>9</v>
      </c>
    </row>
    <row r="6" spans="1:11" x14ac:dyDescent="0.25">
      <c r="A6" s="5" t="s">
        <v>2</v>
      </c>
      <c r="B6">
        <v>7</v>
      </c>
    </row>
    <row r="7" spans="1:11" x14ac:dyDescent="0.25">
      <c r="A7" s="5" t="s">
        <v>9</v>
      </c>
      <c r="B7">
        <v>5</v>
      </c>
    </row>
    <row r="8" spans="1:11" x14ac:dyDescent="0.25">
      <c r="A8" s="5" t="s">
        <v>6</v>
      </c>
      <c r="B8">
        <v>4</v>
      </c>
    </row>
    <row r="9" spans="1:11" x14ac:dyDescent="0.25">
      <c r="A9" s="5" t="s">
        <v>5</v>
      </c>
      <c r="B9">
        <v>3</v>
      </c>
    </row>
    <row r="10" spans="1:11" x14ac:dyDescent="0.25">
      <c r="A10" s="5" t="s">
        <v>3</v>
      </c>
      <c r="B10">
        <v>3</v>
      </c>
    </row>
    <row r="11" spans="1:11" x14ac:dyDescent="0.25">
      <c r="A11" s="5" t="s">
        <v>4</v>
      </c>
      <c r="B11">
        <v>3</v>
      </c>
    </row>
    <row r="12" spans="1:11" x14ac:dyDescent="0.25">
      <c r="A12" s="5" t="s">
        <v>49</v>
      </c>
      <c r="B12">
        <v>3</v>
      </c>
    </row>
    <row r="13" spans="1:11" x14ac:dyDescent="0.25">
      <c r="A13" s="5" t="s">
        <v>50</v>
      </c>
      <c r="B13">
        <v>3</v>
      </c>
    </row>
    <row r="14" spans="1:11" x14ac:dyDescent="0.25">
      <c r="A14" s="5" t="s">
        <v>51</v>
      </c>
      <c r="B14">
        <v>2</v>
      </c>
    </row>
    <row r="15" spans="1:11" x14ac:dyDescent="0.25">
      <c r="A15" s="5" t="s">
        <v>52</v>
      </c>
      <c r="B15">
        <v>2</v>
      </c>
    </row>
    <row r="16" spans="1:11" x14ac:dyDescent="0.25">
      <c r="A16" s="5" t="s">
        <v>53</v>
      </c>
      <c r="B16">
        <v>2</v>
      </c>
    </row>
    <row r="17" spans="1:2" x14ac:dyDescent="0.25">
      <c r="A17" s="5" t="s">
        <v>54</v>
      </c>
      <c r="B17">
        <v>2</v>
      </c>
    </row>
    <row r="18" spans="1:2" x14ac:dyDescent="0.25">
      <c r="A18" s="5" t="s">
        <v>55</v>
      </c>
      <c r="B18">
        <v>2</v>
      </c>
    </row>
    <row r="19" spans="1:2" x14ac:dyDescent="0.25">
      <c r="A19" s="5" t="s">
        <v>56</v>
      </c>
      <c r="B19">
        <v>2</v>
      </c>
    </row>
    <row r="20" spans="1:2" x14ac:dyDescent="0.25">
      <c r="A20" s="5" t="s">
        <v>57</v>
      </c>
      <c r="B20">
        <v>2</v>
      </c>
    </row>
    <row r="21" spans="1:2" x14ac:dyDescent="0.25">
      <c r="A21" s="5" t="s">
        <v>58</v>
      </c>
      <c r="B21">
        <v>2</v>
      </c>
    </row>
    <row r="22" spans="1:2" x14ac:dyDescent="0.25">
      <c r="A22" s="5" t="s">
        <v>59</v>
      </c>
      <c r="B22">
        <v>2</v>
      </c>
    </row>
    <row r="23" spans="1:2" x14ac:dyDescent="0.25">
      <c r="A23" s="5" t="s">
        <v>60</v>
      </c>
      <c r="B23">
        <v>2</v>
      </c>
    </row>
    <row r="24" spans="1:2" x14ac:dyDescent="0.25">
      <c r="A24" s="5" t="s">
        <v>61</v>
      </c>
      <c r="B24">
        <v>2</v>
      </c>
    </row>
    <row r="25" spans="1:2" x14ac:dyDescent="0.25">
      <c r="A25" s="5" t="s">
        <v>62</v>
      </c>
      <c r="B25">
        <v>2</v>
      </c>
    </row>
    <row r="26" spans="1:2" x14ac:dyDescent="0.25">
      <c r="A26" s="5" t="s">
        <v>63</v>
      </c>
      <c r="B26">
        <v>2</v>
      </c>
    </row>
    <row r="27" spans="1:2" x14ac:dyDescent="0.25">
      <c r="A27" s="5" t="s">
        <v>64</v>
      </c>
      <c r="B27">
        <v>2</v>
      </c>
    </row>
    <row r="28" spans="1:2" x14ac:dyDescent="0.25">
      <c r="A28" s="5" t="s">
        <v>65</v>
      </c>
      <c r="B28">
        <v>2</v>
      </c>
    </row>
    <row r="29" spans="1:2" x14ac:dyDescent="0.25">
      <c r="A29" s="5" t="s">
        <v>66</v>
      </c>
      <c r="B29">
        <v>2</v>
      </c>
    </row>
    <row r="30" spans="1:2" x14ac:dyDescent="0.25">
      <c r="A30" s="5" t="s">
        <v>67</v>
      </c>
      <c r="B30">
        <v>2</v>
      </c>
    </row>
    <row r="31" spans="1:2" x14ac:dyDescent="0.25">
      <c r="A31" s="5" t="s">
        <v>68</v>
      </c>
      <c r="B31">
        <v>2</v>
      </c>
    </row>
    <row r="32" spans="1:2" x14ac:dyDescent="0.25">
      <c r="A32" s="5" t="s">
        <v>8</v>
      </c>
      <c r="B32">
        <v>2</v>
      </c>
    </row>
    <row r="33" spans="1:2" x14ac:dyDescent="0.25">
      <c r="A33" s="5" t="s">
        <v>69</v>
      </c>
      <c r="B33">
        <v>2</v>
      </c>
    </row>
    <row r="34" spans="1:2" x14ac:dyDescent="0.25">
      <c r="A34" s="5" t="s">
        <v>70</v>
      </c>
      <c r="B34">
        <v>2</v>
      </c>
    </row>
    <row r="35" spans="1:2" x14ac:dyDescent="0.25">
      <c r="A35" s="5" t="s">
        <v>71</v>
      </c>
      <c r="B35">
        <v>2</v>
      </c>
    </row>
    <row r="36" spans="1:2" x14ac:dyDescent="0.25">
      <c r="A36" s="5" t="s">
        <v>72</v>
      </c>
      <c r="B36">
        <v>2</v>
      </c>
    </row>
    <row r="37" spans="1:2" x14ac:dyDescent="0.25">
      <c r="A37" s="5" t="s">
        <v>7</v>
      </c>
      <c r="B37">
        <v>2</v>
      </c>
    </row>
    <row r="38" spans="1:2" x14ac:dyDescent="0.25">
      <c r="A38" s="5" t="s">
        <v>73</v>
      </c>
      <c r="B38">
        <v>2</v>
      </c>
    </row>
    <row r="39" spans="1:2" x14ac:dyDescent="0.25">
      <c r="A39" s="5" t="s">
        <v>11</v>
      </c>
      <c r="B39">
        <v>2</v>
      </c>
    </row>
    <row r="40" spans="1:2" x14ac:dyDescent="0.25">
      <c r="A40" s="5" t="s">
        <v>74</v>
      </c>
      <c r="B40">
        <v>2</v>
      </c>
    </row>
    <row r="41" spans="1:2" x14ac:dyDescent="0.25">
      <c r="A41" s="5" t="s">
        <v>75</v>
      </c>
      <c r="B41">
        <v>2</v>
      </c>
    </row>
    <row r="42" spans="1:2" x14ac:dyDescent="0.25">
      <c r="A42" s="5" t="s">
        <v>76</v>
      </c>
      <c r="B42">
        <v>2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5904-A4A3-458C-9DE8-49F597CB56A7}">
  <dimension ref="A1:P7"/>
  <sheetViews>
    <sheetView zoomScaleNormal="100" workbookViewId="0">
      <selection activeCell="B16" sqref="B16"/>
    </sheetView>
  </sheetViews>
  <sheetFormatPr defaultRowHeight="15" x14ac:dyDescent="0.25"/>
  <sheetData>
    <row r="1" spans="1:16" ht="20.25" thickBot="1" x14ac:dyDescent="0.35">
      <c r="A1" s="3" t="s">
        <v>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.75" thickTop="1" x14ac:dyDescent="0.25"/>
    <row r="3" spans="1:16" ht="15.75" x14ac:dyDescent="0.25">
      <c r="A3" s="7">
        <v>1</v>
      </c>
      <c r="B3" t="s">
        <v>79</v>
      </c>
      <c r="C3" s="1"/>
      <c r="D3" s="1"/>
      <c r="E3" s="1"/>
      <c r="F3" s="1"/>
      <c r="G3" s="1"/>
    </row>
    <row r="4" spans="1:16" ht="15.75" x14ac:dyDescent="0.25">
      <c r="A4" s="6">
        <v>2</v>
      </c>
      <c r="B4" s="1" t="s">
        <v>80</v>
      </c>
    </row>
    <row r="5" spans="1:16" x14ac:dyDescent="0.25">
      <c r="A5" s="6">
        <v>3</v>
      </c>
      <c r="B5" t="s">
        <v>81</v>
      </c>
    </row>
    <row r="6" spans="1:16" x14ac:dyDescent="0.25">
      <c r="A6" s="6">
        <v>4</v>
      </c>
      <c r="B6" t="s">
        <v>82</v>
      </c>
    </row>
    <row r="7" spans="1:16" x14ac:dyDescent="0.25">
      <c r="A7" s="6">
        <v>5</v>
      </c>
      <c r="B7" t="s">
        <v>83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B6FB-6EAE-47D2-89AE-7BDE526FF404}">
  <dimension ref="A1:W25"/>
  <sheetViews>
    <sheetView workbookViewId="0">
      <selection activeCell="S20" sqref="S20"/>
    </sheetView>
  </sheetViews>
  <sheetFormatPr defaultRowHeight="15" x14ac:dyDescent="0.25"/>
  <sheetData>
    <row r="1" spans="1:23" ht="20.25" thickBot="1" x14ac:dyDescent="0.35">
      <c r="A1" s="20" t="s">
        <v>173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8"/>
    </row>
    <row r="2" spans="1:23" ht="19.149999999999999" customHeight="1" thickTop="1" x14ac:dyDescent="0.25">
      <c r="A2" s="10" t="s">
        <v>174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23" ht="19.149999999999999" customHeight="1" x14ac:dyDescent="0.25">
      <c r="A3" s="4" t="s">
        <v>175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23" ht="19.149999999999999" customHeight="1" x14ac:dyDescent="0.25">
      <c r="A4" s="11" t="s">
        <v>95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23" ht="19.149999999999999" customHeight="1" x14ac:dyDescent="0.25">
      <c r="A5" s="11" t="s">
        <v>177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23" ht="19.149999999999999" customHeight="1" x14ac:dyDescent="0.25">
      <c r="A6" s="4" t="s">
        <v>176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23" ht="19.149999999999999" customHeight="1" x14ac:dyDescent="0.25">
      <c r="A7" s="4" t="s">
        <v>96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6"/>
      <c r="Q7" s="4" t="s">
        <v>178</v>
      </c>
    </row>
    <row r="8" spans="1:23" ht="19.149999999999999" customHeight="1" x14ac:dyDescent="0.25">
      <c r="A8" s="4" t="s">
        <v>97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7" t="s">
        <v>181</v>
      </c>
      <c r="Q8" s="4" t="s">
        <v>179</v>
      </c>
    </row>
    <row r="9" spans="1:23" ht="19.149999999999999" customHeight="1" x14ac:dyDescent="0.25">
      <c r="A9" s="4" t="s">
        <v>98</v>
      </c>
      <c r="B9" s="4"/>
      <c r="C9" s="4"/>
      <c r="D9" s="4"/>
      <c r="E9" s="4"/>
      <c r="F9" s="4"/>
      <c r="G9" s="4"/>
      <c r="H9" s="4"/>
      <c r="I9" s="4"/>
      <c r="P9" s="18" t="s">
        <v>182</v>
      </c>
      <c r="Q9" t="s">
        <v>180</v>
      </c>
    </row>
    <row r="10" spans="1:23" ht="19.149999999999999" customHeight="1" x14ac:dyDescent="0.25">
      <c r="A10" s="4" t="s">
        <v>99</v>
      </c>
      <c r="B10" s="4"/>
      <c r="C10" s="4"/>
      <c r="D10" s="4"/>
      <c r="E10" s="4"/>
      <c r="F10" s="4"/>
      <c r="G10" s="4"/>
      <c r="H10" s="4"/>
      <c r="I10" s="4"/>
      <c r="Q10" s="4"/>
    </row>
    <row r="11" spans="1:23" ht="19.149999999999999" customHeight="1" x14ac:dyDescent="0.25">
      <c r="A11" s="4" t="s">
        <v>100</v>
      </c>
      <c r="B11" s="4"/>
      <c r="C11" s="4"/>
      <c r="D11" s="4"/>
      <c r="E11" s="4"/>
      <c r="F11" s="4"/>
      <c r="G11" s="4"/>
      <c r="H11" s="4"/>
      <c r="I11" s="4"/>
      <c r="Q11" s="4"/>
    </row>
    <row r="12" spans="1:23" ht="15.75" x14ac:dyDescent="0.25">
      <c r="B12" s="4"/>
      <c r="C12" s="4"/>
      <c r="D12" s="4"/>
      <c r="E12" s="4"/>
      <c r="F12" s="4"/>
      <c r="G12" s="4"/>
      <c r="H12" s="4"/>
      <c r="I12" s="4"/>
      <c r="Q12" s="4"/>
    </row>
    <row r="13" spans="1:23" ht="47.25" x14ac:dyDescent="0.25">
      <c r="A13" s="12" t="s">
        <v>157</v>
      </c>
      <c r="B13" s="13" t="s">
        <v>158</v>
      </c>
      <c r="C13" s="13" t="s">
        <v>159</v>
      </c>
      <c r="D13" s="4"/>
      <c r="E13" s="2" t="s">
        <v>160</v>
      </c>
      <c r="F13" s="4"/>
      <c r="G13" s="4"/>
      <c r="H13" s="4"/>
      <c r="I13" s="4"/>
      <c r="Q13" s="4"/>
    </row>
    <row r="14" spans="1:23" ht="15.75" x14ac:dyDescent="0.25">
      <c r="A14" s="14" t="s">
        <v>161</v>
      </c>
      <c r="B14" s="14">
        <v>-5</v>
      </c>
      <c r="C14" s="4">
        <v>98</v>
      </c>
      <c r="D14" s="4"/>
      <c r="E14" s="4" cm="1">
        <f t="array" ref="E14:F14">LINEST(C14:C25,B14:B25)</f>
        <v>-2.520901006443367</v>
      </c>
      <c r="F14" s="14">
        <v>85.419085148303949</v>
      </c>
      <c r="G14" s="4"/>
      <c r="H14" s="4"/>
      <c r="I14" s="4"/>
      <c r="Q14" s="4"/>
    </row>
    <row r="15" spans="1:23" ht="15.75" x14ac:dyDescent="0.25">
      <c r="A15" s="14" t="s">
        <v>162</v>
      </c>
      <c r="B15" s="14">
        <v>-7</v>
      </c>
      <c r="C15" s="4">
        <v>100</v>
      </c>
      <c r="D15" s="4"/>
      <c r="E15" s="4"/>
      <c r="F15" s="14"/>
      <c r="G15" s="4"/>
      <c r="H15" s="4"/>
      <c r="I15" s="4"/>
      <c r="Q15" s="4"/>
    </row>
    <row r="16" spans="1:23" ht="15.75" x14ac:dyDescent="0.25">
      <c r="A16" s="14" t="s">
        <v>163</v>
      </c>
      <c r="B16" s="14">
        <v>5</v>
      </c>
      <c r="C16" s="4">
        <v>75</v>
      </c>
      <c r="D16" s="4"/>
      <c r="E16" s="4"/>
      <c r="F16" s="4"/>
      <c r="G16" s="4"/>
      <c r="H16" s="4"/>
      <c r="I16" s="4"/>
      <c r="Q16" s="4"/>
    </row>
    <row r="17" spans="1:17" ht="15.75" x14ac:dyDescent="0.25">
      <c r="A17" s="14" t="s">
        <v>164</v>
      </c>
      <c r="B17" s="14">
        <v>10</v>
      </c>
      <c r="C17" s="4">
        <v>67</v>
      </c>
      <c r="D17" s="4"/>
      <c r="E17" s="4"/>
      <c r="F17" s="4"/>
      <c r="G17" s="4"/>
      <c r="H17" s="4"/>
      <c r="I17" s="4"/>
      <c r="Q17" s="4"/>
    </row>
    <row r="18" spans="1:17" ht="15.75" x14ac:dyDescent="0.25">
      <c r="A18" s="14" t="s">
        <v>165</v>
      </c>
      <c r="B18" s="14">
        <v>18</v>
      </c>
      <c r="C18" s="4">
        <v>24</v>
      </c>
      <c r="D18" s="4"/>
      <c r="E18" s="4"/>
      <c r="F18" s="4"/>
      <c r="G18" s="4"/>
      <c r="H18" s="4"/>
      <c r="I18" s="4"/>
      <c r="Q18" s="4"/>
    </row>
    <row r="19" spans="1:17" ht="15.75" x14ac:dyDescent="0.25">
      <c r="A19" s="14" t="s">
        <v>166</v>
      </c>
      <c r="B19" s="14">
        <v>22</v>
      </c>
      <c r="C19" s="4">
        <v>26</v>
      </c>
      <c r="D19" s="4"/>
      <c r="E19" s="4"/>
      <c r="F19" s="4"/>
      <c r="G19" s="4"/>
      <c r="H19" s="4"/>
      <c r="I19" s="4"/>
      <c r="Q19" s="4"/>
    </row>
    <row r="20" spans="1:17" ht="15.75" x14ac:dyDescent="0.25">
      <c r="A20" s="14" t="s">
        <v>167</v>
      </c>
      <c r="B20" s="14">
        <v>28</v>
      </c>
      <c r="C20" s="4">
        <v>25</v>
      </c>
      <c r="D20" s="4"/>
      <c r="E20" s="4"/>
      <c r="F20" s="4"/>
      <c r="G20" s="4"/>
      <c r="H20" s="4"/>
      <c r="I20" s="4"/>
      <c r="Q20" s="4"/>
    </row>
    <row r="21" spans="1:17" ht="15.75" x14ac:dyDescent="0.25">
      <c r="A21" s="14" t="s">
        <v>168</v>
      </c>
      <c r="B21" s="14">
        <v>25</v>
      </c>
      <c r="C21" s="4">
        <v>27</v>
      </c>
      <c r="D21" s="4"/>
      <c r="E21" s="4"/>
      <c r="F21" s="4"/>
      <c r="G21" s="4"/>
      <c r="H21" s="4"/>
      <c r="I21" s="4"/>
      <c r="Q21" s="4"/>
    </row>
    <row r="22" spans="1:17" ht="15.75" x14ac:dyDescent="0.25">
      <c r="A22" s="14" t="s">
        <v>169</v>
      </c>
      <c r="B22" s="14">
        <v>16</v>
      </c>
      <c r="C22" s="4">
        <v>40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5.75" x14ac:dyDescent="0.25">
      <c r="A23" s="14" t="s">
        <v>170</v>
      </c>
      <c r="B23" s="14">
        <v>10</v>
      </c>
      <c r="C23" s="4">
        <v>55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5.75" x14ac:dyDescent="0.25">
      <c r="A24" s="14" t="s">
        <v>171</v>
      </c>
      <c r="B24" s="14">
        <v>2</v>
      </c>
      <c r="C24" s="4">
        <v>88</v>
      </c>
      <c r="D24" s="4"/>
      <c r="E24" s="4"/>
      <c r="F24" s="4"/>
      <c r="G24" s="4"/>
    </row>
    <row r="25" spans="1:17" ht="15.75" x14ac:dyDescent="0.25">
      <c r="A25" s="14" t="s">
        <v>172</v>
      </c>
      <c r="B25" s="14">
        <v>-3</v>
      </c>
      <c r="C25" s="4">
        <v>95</v>
      </c>
      <c r="D25" s="4"/>
      <c r="E25" s="4"/>
      <c r="F25" s="4"/>
      <c r="G25" s="4"/>
    </row>
  </sheetData>
  <mergeCells count="2">
    <mergeCell ref="A1:K1"/>
    <mergeCell ref="L1:V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BD84-9B3A-4379-93A4-9972B74FC369}">
  <dimension ref="A1:Q363"/>
  <sheetViews>
    <sheetView workbookViewId="0">
      <selection activeCell="T7" sqref="T7"/>
    </sheetView>
  </sheetViews>
  <sheetFormatPr defaultRowHeight="15" x14ac:dyDescent="0.25"/>
  <sheetData>
    <row r="1" spans="1:17" ht="150.75" x14ac:dyDescent="0.25">
      <c r="A1" s="9" t="s">
        <v>156</v>
      </c>
      <c r="B1" s="9" t="s">
        <v>155</v>
      </c>
      <c r="C1" s="9" t="s">
        <v>154</v>
      </c>
      <c r="D1" s="9" t="s">
        <v>108</v>
      </c>
      <c r="E1" s="9" t="s">
        <v>153</v>
      </c>
      <c r="F1" s="9" t="s">
        <v>107</v>
      </c>
      <c r="G1" s="9" t="s">
        <v>106</v>
      </c>
      <c r="H1" s="9" t="s">
        <v>152</v>
      </c>
      <c r="I1" s="9" t="s">
        <v>151</v>
      </c>
      <c r="J1" s="9" t="s">
        <v>150</v>
      </c>
      <c r="K1" s="9" t="s">
        <v>149</v>
      </c>
      <c r="L1" s="9" t="s">
        <v>148</v>
      </c>
      <c r="M1" s="9" t="s">
        <v>147</v>
      </c>
      <c r="N1" s="9" t="s">
        <v>146</v>
      </c>
      <c r="O1" s="9" t="s">
        <v>105</v>
      </c>
      <c r="P1" s="9" t="s">
        <v>145</v>
      </c>
      <c r="Q1" s="9"/>
    </row>
    <row r="2" spans="1:17" x14ac:dyDescent="0.25">
      <c r="A2">
        <v>2017</v>
      </c>
      <c r="B2">
        <v>2020</v>
      </c>
      <c r="C2" t="s">
        <v>139</v>
      </c>
      <c r="D2">
        <v>42141</v>
      </c>
      <c r="E2">
        <v>42</v>
      </c>
      <c r="F2">
        <v>45</v>
      </c>
      <c r="G2">
        <v>34</v>
      </c>
      <c r="H2">
        <v>8</v>
      </c>
      <c r="I2">
        <v>1</v>
      </c>
      <c r="J2">
        <v>2</v>
      </c>
      <c r="K2">
        <v>0</v>
      </c>
      <c r="L2">
        <v>1</v>
      </c>
      <c r="M2">
        <v>1</v>
      </c>
      <c r="N2">
        <v>1</v>
      </c>
      <c r="O2">
        <v>10350.67</v>
      </c>
      <c r="P2">
        <v>9488.9</v>
      </c>
      <c r="Q2" s="15"/>
    </row>
    <row r="3" spans="1:17" x14ac:dyDescent="0.25">
      <c r="A3">
        <v>2017</v>
      </c>
      <c r="B3">
        <v>2020</v>
      </c>
      <c r="C3" t="s">
        <v>139</v>
      </c>
      <c r="D3">
        <v>43222</v>
      </c>
      <c r="E3">
        <v>43</v>
      </c>
      <c r="F3">
        <v>47</v>
      </c>
      <c r="G3">
        <v>31</v>
      </c>
      <c r="H3">
        <v>12</v>
      </c>
      <c r="I3">
        <v>0</v>
      </c>
      <c r="J3">
        <v>4</v>
      </c>
      <c r="K3">
        <v>2</v>
      </c>
      <c r="L3">
        <v>3</v>
      </c>
      <c r="M3">
        <v>2</v>
      </c>
      <c r="N3">
        <v>1</v>
      </c>
      <c r="O3">
        <v>8654.2999999999993</v>
      </c>
      <c r="P3">
        <v>8075.05</v>
      </c>
      <c r="Q3" s="15"/>
    </row>
    <row r="4" spans="1:17" x14ac:dyDescent="0.25">
      <c r="A4">
        <v>2017</v>
      </c>
      <c r="B4">
        <v>2020</v>
      </c>
      <c r="C4" t="s">
        <v>138</v>
      </c>
      <c r="D4">
        <v>42345</v>
      </c>
      <c r="E4">
        <v>42</v>
      </c>
      <c r="F4">
        <v>37</v>
      </c>
      <c r="G4">
        <v>31</v>
      </c>
      <c r="H4">
        <v>5</v>
      </c>
      <c r="I4">
        <v>0</v>
      </c>
      <c r="J4">
        <v>1</v>
      </c>
      <c r="K4">
        <v>0</v>
      </c>
      <c r="L4">
        <v>3</v>
      </c>
      <c r="M4">
        <v>3</v>
      </c>
      <c r="N4">
        <v>3</v>
      </c>
      <c r="O4">
        <v>11650.17</v>
      </c>
      <c r="P4">
        <v>11062.02</v>
      </c>
      <c r="Q4" s="15"/>
    </row>
    <row r="5" spans="1:17" x14ac:dyDescent="0.25">
      <c r="A5">
        <v>2017</v>
      </c>
      <c r="B5">
        <v>2020</v>
      </c>
      <c r="C5" t="s">
        <v>138</v>
      </c>
      <c r="D5">
        <v>42621</v>
      </c>
      <c r="E5">
        <v>42</v>
      </c>
      <c r="F5">
        <v>65</v>
      </c>
      <c r="G5">
        <v>61</v>
      </c>
      <c r="H5">
        <v>3</v>
      </c>
      <c r="I5">
        <v>0</v>
      </c>
      <c r="J5">
        <v>1</v>
      </c>
      <c r="K5">
        <v>0</v>
      </c>
      <c r="L5">
        <v>19</v>
      </c>
      <c r="M5">
        <v>17</v>
      </c>
      <c r="N5">
        <v>6</v>
      </c>
      <c r="O5">
        <v>20385.61</v>
      </c>
      <c r="P5">
        <v>17188.89</v>
      </c>
      <c r="Q5" s="15"/>
    </row>
    <row r="6" spans="1:17" x14ac:dyDescent="0.25">
      <c r="A6">
        <v>2017</v>
      </c>
      <c r="B6">
        <v>2020</v>
      </c>
      <c r="C6" t="s">
        <v>138</v>
      </c>
      <c r="D6">
        <v>43310</v>
      </c>
      <c r="E6">
        <v>43</v>
      </c>
      <c r="F6">
        <v>86</v>
      </c>
      <c r="G6">
        <v>74</v>
      </c>
      <c r="H6">
        <v>10</v>
      </c>
      <c r="I6">
        <v>0</v>
      </c>
      <c r="J6">
        <v>2</v>
      </c>
      <c r="K6">
        <v>1</v>
      </c>
      <c r="L6">
        <v>6</v>
      </c>
      <c r="M6">
        <v>6</v>
      </c>
      <c r="N6">
        <v>5</v>
      </c>
      <c r="O6">
        <v>14563.92</v>
      </c>
      <c r="P6">
        <v>14259.37</v>
      </c>
      <c r="Q6" s="15"/>
    </row>
    <row r="7" spans="1:17" x14ac:dyDescent="0.25">
      <c r="A7">
        <v>2017</v>
      </c>
      <c r="B7">
        <v>2020</v>
      </c>
      <c r="C7" t="s">
        <v>138</v>
      </c>
      <c r="D7">
        <v>43525</v>
      </c>
      <c r="E7">
        <v>43</v>
      </c>
      <c r="F7">
        <v>49</v>
      </c>
      <c r="G7">
        <v>44</v>
      </c>
      <c r="H7">
        <v>3</v>
      </c>
      <c r="I7">
        <v>0</v>
      </c>
      <c r="J7">
        <v>2</v>
      </c>
      <c r="K7">
        <v>0</v>
      </c>
      <c r="L7">
        <v>9</v>
      </c>
      <c r="M7">
        <v>9</v>
      </c>
      <c r="N7">
        <v>3</v>
      </c>
      <c r="O7">
        <v>19811.62</v>
      </c>
      <c r="P7">
        <v>16982.32</v>
      </c>
      <c r="Q7" s="15"/>
    </row>
    <row r="8" spans="1:17" x14ac:dyDescent="0.25">
      <c r="A8">
        <v>2017</v>
      </c>
      <c r="B8">
        <v>2020</v>
      </c>
      <c r="C8" t="s">
        <v>138</v>
      </c>
      <c r="D8">
        <v>45310</v>
      </c>
      <c r="E8">
        <v>45</v>
      </c>
      <c r="F8">
        <v>38</v>
      </c>
      <c r="G8">
        <v>34</v>
      </c>
      <c r="H8">
        <v>1</v>
      </c>
      <c r="I8">
        <v>0</v>
      </c>
      <c r="J8">
        <v>3</v>
      </c>
      <c r="K8">
        <v>2</v>
      </c>
      <c r="L8">
        <v>2</v>
      </c>
      <c r="M8">
        <v>2</v>
      </c>
      <c r="N8">
        <v>2</v>
      </c>
      <c r="O8">
        <v>21721.11</v>
      </c>
      <c r="P8">
        <v>17360.310000000001</v>
      </c>
      <c r="Q8" s="15"/>
    </row>
    <row r="9" spans="1:17" x14ac:dyDescent="0.25">
      <c r="A9">
        <v>2017</v>
      </c>
      <c r="B9">
        <v>2020</v>
      </c>
      <c r="C9" t="s">
        <v>137</v>
      </c>
      <c r="D9">
        <v>41722</v>
      </c>
      <c r="E9">
        <v>41</v>
      </c>
      <c r="F9">
        <v>138</v>
      </c>
      <c r="G9">
        <v>114</v>
      </c>
      <c r="H9">
        <v>17</v>
      </c>
      <c r="I9">
        <v>2</v>
      </c>
      <c r="J9">
        <v>5</v>
      </c>
      <c r="K9">
        <v>0</v>
      </c>
      <c r="L9">
        <v>13</v>
      </c>
      <c r="M9">
        <v>11</v>
      </c>
      <c r="N9">
        <v>11</v>
      </c>
      <c r="O9">
        <v>12488.11</v>
      </c>
      <c r="P9">
        <v>11528.33</v>
      </c>
      <c r="Q9" s="15"/>
    </row>
    <row r="10" spans="1:17" x14ac:dyDescent="0.25">
      <c r="A10">
        <v>2017</v>
      </c>
      <c r="B10">
        <v>2020</v>
      </c>
      <c r="C10" t="s">
        <v>137</v>
      </c>
      <c r="D10">
        <v>41723</v>
      </c>
      <c r="E10">
        <v>41</v>
      </c>
      <c r="F10">
        <v>47</v>
      </c>
      <c r="G10">
        <v>44</v>
      </c>
      <c r="H10">
        <v>2</v>
      </c>
      <c r="I10">
        <v>0</v>
      </c>
      <c r="J10">
        <v>1</v>
      </c>
      <c r="K10">
        <v>1</v>
      </c>
      <c r="L10">
        <v>2</v>
      </c>
      <c r="M10">
        <v>2</v>
      </c>
      <c r="N10">
        <v>2</v>
      </c>
      <c r="O10">
        <v>16310.71</v>
      </c>
      <c r="P10">
        <v>14541.99</v>
      </c>
      <c r="Q10" s="15"/>
    </row>
    <row r="11" spans="1:17" x14ac:dyDescent="0.25">
      <c r="A11">
        <v>2017</v>
      </c>
      <c r="B11">
        <v>2020</v>
      </c>
      <c r="C11" t="s">
        <v>137</v>
      </c>
      <c r="D11">
        <v>41762</v>
      </c>
      <c r="E11">
        <v>41</v>
      </c>
      <c r="F11">
        <v>51</v>
      </c>
      <c r="G11">
        <v>41</v>
      </c>
      <c r="H11">
        <v>8</v>
      </c>
      <c r="I11">
        <v>0</v>
      </c>
      <c r="J11">
        <v>2</v>
      </c>
      <c r="K11">
        <v>0</v>
      </c>
      <c r="L11">
        <v>4</v>
      </c>
      <c r="M11">
        <v>4</v>
      </c>
      <c r="N11">
        <v>2</v>
      </c>
      <c r="O11">
        <v>11941.04</v>
      </c>
      <c r="P11">
        <v>11488.22</v>
      </c>
      <c r="Q11" s="15"/>
    </row>
    <row r="12" spans="1:17" x14ac:dyDescent="0.25">
      <c r="A12">
        <v>2017</v>
      </c>
      <c r="B12">
        <v>2020</v>
      </c>
      <c r="C12" t="s">
        <v>136</v>
      </c>
      <c r="D12">
        <v>42141</v>
      </c>
      <c r="E12">
        <v>42</v>
      </c>
      <c r="F12">
        <v>73</v>
      </c>
      <c r="G12">
        <v>63</v>
      </c>
      <c r="H12">
        <v>7</v>
      </c>
      <c r="I12">
        <v>1</v>
      </c>
      <c r="J12">
        <v>2</v>
      </c>
      <c r="K12">
        <v>0</v>
      </c>
      <c r="L12">
        <v>3</v>
      </c>
      <c r="M12">
        <v>2</v>
      </c>
      <c r="N12">
        <v>2</v>
      </c>
      <c r="O12">
        <v>11667.41</v>
      </c>
      <c r="P12">
        <v>11375.63</v>
      </c>
      <c r="Q12" s="15"/>
    </row>
    <row r="13" spans="1:17" x14ac:dyDescent="0.25">
      <c r="A13">
        <v>2017</v>
      </c>
      <c r="B13">
        <v>2020</v>
      </c>
      <c r="C13" t="s">
        <v>135</v>
      </c>
      <c r="D13">
        <v>41840</v>
      </c>
      <c r="E13">
        <v>41</v>
      </c>
      <c r="F13">
        <v>51</v>
      </c>
      <c r="G13">
        <v>38</v>
      </c>
      <c r="H13">
        <v>4</v>
      </c>
      <c r="I13">
        <v>0</v>
      </c>
      <c r="J13">
        <v>9</v>
      </c>
      <c r="K13">
        <v>2</v>
      </c>
      <c r="L13">
        <v>2</v>
      </c>
      <c r="M13">
        <v>2</v>
      </c>
      <c r="N13">
        <v>2</v>
      </c>
      <c r="O13">
        <v>8027.51</v>
      </c>
      <c r="P13">
        <v>6695.75</v>
      </c>
      <c r="Q13" s="15"/>
    </row>
    <row r="14" spans="1:17" x14ac:dyDescent="0.25">
      <c r="A14">
        <v>2017</v>
      </c>
      <c r="B14">
        <v>2020</v>
      </c>
      <c r="C14" t="s">
        <v>142</v>
      </c>
      <c r="D14">
        <v>41861</v>
      </c>
      <c r="E14">
        <v>41</v>
      </c>
      <c r="F14">
        <v>41</v>
      </c>
      <c r="G14">
        <v>40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17608.009999999998</v>
      </c>
      <c r="P14">
        <v>17317.080000000002</v>
      </c>
      <c r="Q14" s="15"/>
    </row>
    <row r="15" spans="1:17" x14ac:dyDescent="0.25">
      <c r="A15">
        <v>2017</v>
      </c>
      <c r="B15">
        <v>2020</v>
      </c>
      <c r="C15" t="s">
        <v>141</v>
      </c>
      <c r="D15">
        <v>42222</v>
      </c>
      <c r="E15">
        <v>42</v>
      </c>
      <c r="F15">
        <v>41</v>
      </c>
      <c r="G15">
        <v>35</v>
      </c>
      <c r="H15">
        <v>3</v>
      </c>
      <c r="I15">
        <v>1</v>
      </c>
      <c r="J15">
        <v>2</v>
      </c>
      <c r="K15">
        <v>0</v>
      </c>
      <c r="L15">
        <v>3</v>
      </c>
      <c r="M15">
        <v>3</v>
      </c>
      <c r="N15">
        <v>3</v>
      </c>
      <c r="O15">
        <v>15239.06</v>
      </c>
      <c r="P15">
        <v>12107.14</v>
      </c>
      <c r="Q15" s="15"/>
    </row>
    <row r="16" spans="1:17" x14ac:dyDescent="0.25">
      <c r="A16">
        <v>2017</v>
      </c>
      <c r="B16">
        <v>2020</v>
      </c>
      <c r="C16" t="s">
        <v>141</v>
      </c>
      <c r="D16">
        <v>42345</v>
      </c>
      <c r="E16">
        <v>42</v>
      </c>
      <c r="F16">
        <v>42</v>
      </c>
      <c r="G16">
        <v>39</v>
      </c>
      <c r="H16">
        <v>3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12763.49</v>
      </c>
      <c r="P16">
        <v>11092.05</v>
      </c>
      <c r="Q16" s="15"/>
    </row>
    <row r="17" spans="1:17" x14ac:dyDescent="0.25">
      <c r="A17">
        <v>2017</v>
      </c>
      <c r="B17">
        <v>2020</v>
      </c>
      <c r="C17" t="s">
        <v>134</v>
      </c>
      <c r="D17">
        <v>41481</v>
      </c>
      <c r="E17">
        <v>41</v>
      </c>
      <c r="F17">
        <v>97</v>
      </c>
      <c r="G17">
        <v>81</v>
      </c>
      <c r="H17">
        <v>11</v>
      </c>
      <c r="I17">
        <v>0</v>
      </c>
      <c r="J17">
        <v>5</v>
      </c>
      <c r="K17">
        <v>0</v>
      </c>
      <c r="L17">
        <v>10</v>
      </c>
      <c r="M17">
        <v>10</v>
      </c>
      <c r="N17">
        <v>10</v>
      </c>
      <c r="O17">
        <v>25788.54</v>
      </c>
      <c r="P17">
        <v>22611.61</v>
      </c>
      <c r="Q17" s="15"/>
    </row>
    <row r="18" spans="1:17" x14ac:dyDescent="0.25">
      <c r="A18">
        <v>2017</v>
      </c>
      <c r="B18">
        <v>2020</v>
      </c>
      <c r="C18" t="s">
        <v>134</v>
      </c>
      <c r="D18">
        <v>42141</v>
      </c>
      <c r="E18">
        <v>42</v>
      </c>
      <c r="F18">
        <v>146</v>
      </c>
      <c r="G18">
        <v>128</v>
      </c>
      <c r="H18">
        <v>16</v>
      </c>
      <c r="I18">
        <v>0</v>
      </c>
      <c r="J18">
        <v>2</v>
      </c>
      <c r="K18">
        <v>0</v>
      </c>
      <c r="L18">
        <v>7</v>
      </c>
      <c r="M18">
        <v>7</v>
      </c>
      <c r="N18">
        <v>7</v>
      </c>
      <c r="O18">
        <v>13712.27</v>
      </c>
      <c r="P18">
        <v>13501.61</v>
      </c>
      <c r="Q18" s="15"/>
    </row>
    <row r="19" spans="1:17" x14ac:dyDescent="0.25">
      <c r="A19">
        <v>2017</v>
      </c>
      <c r="B19">
        <v>2020</v>
      </c>
      <c r="C19" t="s">
        <v>134</v>
      </c>
      <c r="D19">
        <v>42310</v>
      </c>
      <c r="E19">
        <v>42</v>
      </c>
      <c r="F19">
        <v>47</v>
      </c>
      <c r="G19">
        <v>35</v>
      </c>
      <c r="H19">
        <v>11</v>
      </c>
      <c r="I19">
        <v>0</v>
      </c>
      <c r="J19">
        <v>1</v>
      </c>
      <c r="K19">
        <v>0</v>
      </c>
      <c r="L19">
        <v>3</v>
      </c>
      <c r="M19">
        <v>3</v>
      </c>
      <c r="N19">
        <v>2</v>
      </c>
      <c r="O19">
        <v>19190.78</v>
      </c>
      <c r="P19">
        <v>15832.1</v>
      </c>
      <c r="Q19" s="15"/>
    </row>
    <row r="20" spans="1:17" x14ac:dyDescent="0.25">
      <c r="A20">
        <v>2017</v>
      </c>
      <c r="B20">
        <v>2020</v>
      </c>
      <c r="C20" t="s">
        <v>134</v>
      </c>
      <c r="D20">
        <v>42344</v>
      </c>
      <c r="E20">
        <v>42</v>
      </c>
      <c r="F20">
        <v>37</v>
      </c>
      <c r="G20">
        <v>32</v>
      </c>
      <c r="H20">
        <v>5</v>
      </c>
      <c r="I20">
        <v>0</v>
      </c>
      <c r="J20">
        <v>0</v>
      </c>
      <c r="K20">
        <v>0</v>
      </c>
      <c r="L20">
        <v>4</v>
      </c>
      <c r="M20">
        <v>4</v>
      </c>
      <c r="N20">
        <v>4</v>
      </c>
      <c r="O20">
        <v>21152.21</v>
      </c>
      <c r="P20">
        <v>16850.16</v>
      </c>
      <c r="Q20" s="15"/>
    </row>
    <row r="21" spans="1:17" x14ac:dyDescent="0.25">
      <c r="A21">
        <v>2017</v>
      </c>
      <c r="B21">
        <v>2020</v>
      </c>
      <c r="C21" t="s">
        <v>134</v>
      </c>
      <c r="D21">
        <v>42345</v>
      </c>
      <c r="E21">
        <v>42</v>
      </c>
      <c r="F21">
        <v>40</v>
      </c>
      <c r="G21">
        <v>37</v>
      </c>
      <c r="H21">
        <v>3</v>
      </c>
      <c r="I21">
        <v>0</v>
      </c>
      <c r="J21">
        <v>0</v>
      </c>
      <c r="K21">
        <v>1</v>
      </c>
      <c r="L21">
        <v>8</v>
      </c>
      <c r="M21">
        <v>6</v>
      </c>
      <c r="N21">
        <v>6</v>
      </c>
      <c r="O21">
        <v>22771.59</v>
      </c>
      <c r="P21">
        <v>17971.03</v>
      </c>
      <c r="Q21" s="15"/>
    </row>
    <row r="22" spans="1:17" x14ac:dyDescent="0.25">
      <c r="A22">
        <v>2017</v>
      </c>
      <c r="B22">
        <v>2020</v>
      </c>
      <c r="C22" t="s">
        <v>134</v>
      </c>
      <c r="D22">
        <v>42721</v>
      </c>
      <c r="E22">
        <v>42</v>
      </c>
      <c r="F22">
        <v>75</v>
      </c>
      <c r="G22">
        <v>62</v>
      </c>
      <c r="H22">
        <v>3</v>
      </c>
      <c r="I22">
        <v>1</v>
      </c>
      <c r="J22">
        <v>9</v>
      </c>
      <c r="K22">
        <v>0</v>
      </c>
      <c r="L22">
        <v>3</v>
      </c>
      <c r="M22">
        <v>2</v>
      </c>
      <c r="N22">
        <v>2</v>
      </c>
      <c r="O22">
        <v>25837.8</v>
      </c>
      <c r="P22">
        <v>23987.69</v>
      </c>
      <c r="Q22" s="15"/>
    </row>
    <row r="23" spans="1:17" x14ac:dyDescent="0.25">
      <c r="A23">
        <v>2017</v>
      </c>
      <c r="B23">
        <v>2020</v>
      </c>
      <c r="C23" t="s">
        <v>134</v>
      </c>
      <c r="D23">
        <v>42723</v>
      </c>
      <c r="E23">
        <v>42</v>
      </c>
      <c r="F23">
        <v>91</v>
      </c>
      <c r="G23">
        <v>77</v>
      </c>
      <c r="H23">
        <v>7</v>
      </c>
      <c r="I23">
        <v>1</v>
      </c>
      <c r="J23">
        <v>6</v>
      </c>
      <c r="K23">
        <v>1</v>
      </c>
      <c r="L23">
        <v>4</v>
      </c>
      <c r="M23">
        <v>3</v>
      </c>
      <c r="N23">
        <v>3</v>
      </c>
      <c r="O23">
        <v>18275.16</v>
      </c>
      <c r="P23">
        <v>17278.12</v>
      </c>
      <c r="Q23" s="15"/>
    </row>
    <row r="24" spans="1:17" x14ac:dyDescent="0.25">
      <c r="A24">
        <v>2017</v>
      </c>
      <c r="B24">
        <v>2020</v>
      </c>
      <c r="C24" t="s">
        <v>134</v>
      </c>
      <c r="D24">
        <v>43222</v>
      </c>
      <c r="E24">
        <v>43</v>
      </c>
      <c r="F24">
        <v>203</v>
      </c>
      <c r="G24">
        <v>138</v>
      </c>
      <c r="H24">
        <v>42</v>
      </c>
      <c r="I24">
        <v>6</v>
      </c>
      <c r="J24">
        <v>17</v>
      </c>
      <c r="K24">
        <v>1</v>
      </c>
      <c r="L24">
        <v>7</v>
      </c>
      <c r="M24">
        <v>6</v>
      </c>
      <c r="N24">
        <v>6</v>
      </c>
      <c r="O24">
        <v>13912.2</v>
      </c>
      <c r="P24">
        <v>13326.5</v>
      </c>
      <c r="Q24" s="15"/>
    </row>
    <row r="25" spans="1:17" x14ac:dyDescent="0.25">
      <c r="A25">
        <v>2017</v>
      </c>
      <c r="B25">
        <v>2020</v>
      </c>
      <c r="C25" t="s">
        <v>134</v>
      </c>
      <c r="D25">
        <v>43224</v>
      </c>
      <c r="E25">
        <v>43</v>
      </c>
      <c r="F25">
        <v>45</v>
      </c>
      <c r="G25">
        <v>32</v>
      </c>
      <c r="H25">
        <v>12</v>
      </c>
      <c r="I25">
        <v>0</v>
      </c>
      <c r="J25">
        <v>1</v>
      </c>
      <c r="K25">
        <v>0</v>
      </c>
      <c r="L25">
        <v>2</v>
      </c>
      <c r="M25">
        <v>1</v>
      </c>
      <c r="N25">
        <v>1</v>
      </c>
      <c r="O25">
        <v>12397.37</v>
      </c>
      <c r="P25">
        <v>11832.14</v>
      </c>
      <c r="Q25" s="15"/>
    </row>
    <row r="26" spans="1:17" x14ac:dyDescent="0.25">
      <c r="A26">
        <v>2017</v>
      </c>
      <c r="B26">
        <v>2020</v>
      </c>
      <c r="C26" t="s">
        <v>134</v>
      </c>
      <c r="D26">
        <v>43310</v>
      </c>
      <c r="E26">
        <v>43</v>
      </c>
      <c r="F26">
        <v>142</v>
      </c>
      <c r="G26">
        <v>125</v>
      </c>
      <c r="H26">
        <v>13</v>
      </c>
      <c r="I26">
        <v>0</v>
      </c>
      <c r="J26">
        <v>4</v>
      </c>
      <c r="K26">
        <v>0</v>
      </c>
      <c r="L26">
        <v>18</v>
      </c>
      <c r="M26">
        <v>13</v>
      </c>
      <c r="N26">
        <v>13</v>
      </c>
      <c r="O26">
        <v>18173.03</v>
      </c>
      <c r="P26">
        <v>15142.08</v>
      </c>
      <c r="Q26" s="15"/>
    </row>
    <row r="27" spans="1:17" x14ac:dyDescent="0.25">
      <c r="A27">
        <v>2017</v>
      </c>
      <c r="B27">
        <v>2020</v>
      </c>
      <c r="C27" t="s">
        <v>134</v>
      </c>
      <c r="D27">
        <v>43321</v>
      </c>
      <c r="E27">
        <v>43</v>
      </c>
      <c r="F27">
        <v>108</v>
      </c>
      <c r="G27">
        <v>90</v>
      </c>
      <c r="H27">
        <v>15</v>
      </c>
      <c r="I27">
        <v>0</v>
      </c>
      <c r="J27">
        <v>3</v>
      </c>
      <c r="K27">
        <v>0</v>
      </c>
      <c r="L27">
        <v>10</v>
      </c>
      <c r="M27">
        <v>7</v>
      </c>
      <c r="N27">
        <v>7</v>
      </c>
      <c r="O27">
        <v>13495.98</v>
      </c>
      <c r="P27">
        <v>13388.7</v>
      </c>
      <c r="Q27" s="15"/>
    </row>
    <row r="28" spans="1:17" x14ac:dyDescent="0.25">
      <c r="A28">
        <v>2017</v>
      </c>
      <c r="B28">
        <v>2020</v>
      </c>
      <c r="C28" t="s">
        <v>134</v>
      </c>
      <c r="D28">
        <v>43345</v>
      </c>
      <c r="E28">
        <v>43</v>
      </c>
      <c r="F28">
        <v>102</v>
      </c>
      <c r="G28">
        <v>87</v>
      </c>
      <c r="H28">
        <v>13</v>
      </c>
      <c r="I28">
        <v>0</v>
      </c>
      <c r="J28">
        <v>2</v>
      </c>
      <c r="K28">
        <v>0</v>
      </c>
      <c r="L28">
        <v>18</v>
      </c>
      <c r="M28">
        <v>14</v>
      </c>
      <c r="N28">
        <v>13</v>
      </c>
      <c r="O28">
        <v>18787.93</v>
      </c>
      <c r="P28">
        <v>16975.509999999998</v>
      </c>
      <c r="Q28" s="15"/>
    </row>
    <row r="29" spans="1:17" x14ac:dyDescent="0.25">
      <c r="A29">
        <v>2017</v>
      </c>
      <c r="B29">
        <v>2020</v>
      </c>
      <c r="C29" t="s">
        <v>134</v>
      </c>
      <c r="D29">
        <v>43380</v>
      </c>
      <c r="E29">
        <v>43</v>
      </c>
      <c r="F29">
        <v>206</v>
      </c>
      <c r="G29">
        <v>182</v>
      </c>
      <c r="H29">
        <v>20</v>
      </c>
      <c r="I29">
        <v>1</v>
      </c>
      <c r="J29">
        <v>3</v>
      </c>
      <c r="K29">
        <v>0</v>
      </c>
      <c r="L29">
        <v>22</v>
      </c>
      <c r="M29">
        <v>19</v>
      </c>
      <c r="N29">
        <v>17</v>
      </c>
      <c r="O29">
        <v>17444.599999999999</v>
      </c>
      <c r="P29">
        <v>15514.38</v>
      </c>
      <c r="Q29" s="15"/>
    </row>
    <row r="30" spans="1:17" x14ac:dyDescent="0.25">
      <c r="A30">
        <v>2017</v>
      </c>
      <c r="B30">
        <v>2020</v>
      </c>
      <c r="C30" t="s">
        <v>134</v>
      </c>
      <c r="D30">
        <v>43420</v>
      </c>
      <c r="E30">
        <v>43</v>
      </c>
      <c r="F30">
        <v>46</v>
      </c>
      <c r="G30">
        <v>40</v>
      </c>
      <c r="H30">
        <v>6</v>
      </c>
      <c r="I30">
        <v>0</v>
      </c>
      <c r="J30">
        <v>0</v>
      </c>
      <c r="K30">
        <v>0</v>
      </c>
      <c r="L30">
        <v>2</v>
      </c>
      <c r="M30">
        <v>2</v>
      </c>
      <c r="N30">
        <v>2</v>
      </c>
      <c r="O30">
        <v>15261.17</v>
      </c>
      <c r="P30">
        <v>14072.94</v>
      </c>
      <c r="Q30" s="15"/>
    </row>
    <row r="31" spans="1:17" x14ac:dyDescent="0.25">
      <c r="A31">
        <v>2017</v>
      </c>
      <c r="B31">
        <v>2020</v>
      </c>
      <c r="C31" t="s">
        <v>134</v>
      </c>
      <c r="D31">
        <v>43440</v>
      </c>
      <c r="E31">
        <v>43</v>
      </c>
      <c r="F31">
        <v>79</v>
      </c>
      <c r="G31">
        <v>65</v>
      </c>
      <c r="H31">
        <v>12</v>
      </c>
      <c r="I31">
        <v>2</v>
      </c>
      <c r="J31">
        <v>0</v>
      </c>
      <c r="K31">
        <v>0</v>
      </c>
      <c r="L31">
        <v>4</v>
      </c>
      <c r="M31">
        <v>4</v>
      </c>
      <c r="N31">
        <v>4</v>
      </c>
      <c r="O31">
        <v>15738.65</v>
      </c>
      <c r="P31">
        <v>15991.72</v>
      </c>
      <c r="Q31" s="15"/>
    </row>
    <row r="32" spans="1:17" x14ac:dyDescent="0.25">
      <c r="A32">
        <v>2017</v>
      </c>
      <c r="B32">
        <v>2020</v>
      </c>
      <c r="C32" t="s">
        <v>134</v>
      </c>
      <c r="D32">
        <v>43481</v>
      </c>
      <c r="E32">
        <v>43</v>
      </c>
      <c r="F32">
        <v>67</v>
      </c>
      <c r="G32">
        <v>57</v>
      </c>
      <c r="H32">
        <v>7</v>
      </c>
      <c r="I32">
        <v>1</v>
      </c>
      <c r="J32">
        <v>2</v>
      </c>
      <c r="K32">
        <v>0</v>
      </c>
      <c r="L32">
        <v>12</v>
      </c>
      <c r="M32">
        <v>10</v>
      </c>
      <c r="N32">
        <v>10</v>
      </c>
      <c r="O32">
        <v>35242.11</v>
      </c>
      <c r="P32">
        <v>29176.19</v>
      </c>
      <c r="Q32" s="15"/>
    </row>
    <row r="33" spans="1:17" x14ac:dyDescent="0.25">
      <c r="A33">
        <v>2017</v>
      </c>
      <c r="B33">
        <v>2020</v>
      </c>
      <c r="C33" t="s">
        <v>134</v>
      </c>
      <c r="D33">
        <v>45222</v>
      </c>
      <c r="E33">
        <v>45</v>
      </c>
      <c r="F33">
        <v>67</v>
      </c>
      <c r="G33">
        <v>52</v>
      </c>
      <c r="H33">
        <v>6</v>
      </c>
      <c r="I33">
        <v>1</v>
      </c>
      <c r="J33">
        <v>8</v>
      </c>
      <c r="K33">
        <v>1</v>
      </c>
      <c r="L33">
        <v>0</v>
      </c>
      <c r="M33">
        <v>0</v>
      </c>
      <c r="N33">
        <v>0</v>
      </c>
      <c r="O33">
        <v>16797.52</v>
      </c>
      <c r="P33">
        <v>15665.08</v>
      </c>
      <c r="Q33" s="15"/>
    </row>
    <row r="34" spans="1:17" x14ac:dyDescent="0.25">
      <c r="A34">
        <v>2017</v>
      </c>
      <c r="B34">
        <v>2020</v>
      </c>
      <c r="C34" t="s">
        <v>134</v>
      </c>
      <c r="D34">
        <v>45310</v>
      </c>
      <c r="E34">
        <v>45</v>
      </c>
      <c r="F34">
        <v>65</v>
      </c>
      <c r="G34">
        <v>51</v>
      </c>
      <c r="H34">
        <v>8</v>
      </c>
      <c r="I34">
        <v>1</v>
      </c>
      <c r="J34">
        <v>5</v>
      </c>
      <c r="K34">
        <v>0</v>
      </c>
      <c r="L34">
        <v>2</v>
      </c>
      <c r="M34">
        <v>2</v>
      </c>
      <c r="N34">
        <v>2</v>
      </c>
      <c r="O34">
        <v>23895.75</v>
      </c>
      <c r="P34">
        <v>21967.02</v>
      </c>
      <c r="Q34" s="15"/>
    </row>
    <row r="35" spans="1:17" x14ac:dyDescent="0.25">
      <c r="A35">
        <v>2017</v>
      </c>
      <c r="B35">
        <v>2020</v>
      </c>
      <c r="C35" t="s">
        <v>134</v>
      </c>
      <c r="D35">
        <v>45345</v>
      </c>
      <c r="E35">
        <v>45</v>
      </c>
      <c r="F35">
        <v>56</v>
      </c>
      <c r="G35">
        <v>52</v>
      </c>
      <c r="H35">
        <v>4</v>
      </c>
      <c r="I35">
        <v>0</v>
      </c>
      <c r="J35">
        <v>0</v>
      </c>
      <c r="K35">
        <v>0</v>
      </c>
      <c r="L35">
        <v>10</v>
      </c>
      <c r="M35">
        <v>9</v>
      </c>
      <c r="N35">
        <v>9</v>
      </c>
      <c r="O35">
        <v>25917.11</v>
      </c>
      <c r="P35">
        <v>18034.72</v>
      </c>
      <c r="Q35" s="15"/>
    </row>
    <row r="36" spans="1:17" x14ac:dyDescent="0.25">
      <c r="A36">
        <v>2017</v>
      </c>
      <c r="B36">
        <v>2020</v>
      </c>
      <c r="C36" t="s">
        <v>134</v>
      </c>
      <c r="D36">
        <v>45420</v>
      </c>
      <c r="E36">
        <v>45</v>
      </c>
      <c r="F36">
        <v>43</v>
      </c>
      <c r="G36">
        <v>38</v>
      </c>
      <c r="H36">
        <v>1</v>
      </c>
      <c r="I36">
        <v>3</v>
      </c>
      <c r="J36">
        <v>1</v>
      </c>
      <c r="K36">
        <v>0</v>
      </c>
      <c r="L36">
        <v>3</v>
      </c>
      <c r="M36">
        <v>3</v>
      </c>
      <c r="N36">
        <v>3</v>
      </c>
      <c r="O36">
        <v>20949.05</v>
      </c>
      <c r="P36">
        <v>17736.18</v>
      </c>
      <c r="Q36" s="15"/>
    </row>
    <row r="37" spans="1:17" x14ac:dyDescent="0.25">
      <c r="A37">
        <v>2017</v>
      </c>
      <c r="B37">
        <v>2020</v>
      </c>
      <c r="C37" t="s">
        <v>134</v>
      </c>
      <c r="D37">
        <v>45440</v>
      </c>
      <c r="E37">
        <v>45</v>
      </c>
      <c r="F37">
        <v>54</v>
      </c>
      <c r="G37">
        <v>49</v>
      </c>
      <c r="H37">
        <v>4</v>
      </c>
      <c r="I37">
        <v>0</v>
      </c>
      <c r="J37">
        <v>1</v>
      </c>
      <c r="K37">
        <v>2</v>
      </c>
      <c r="L37">
        <v>2</v>
      </c>
      <c r="M37">
        <v>2</v>
      </c>
      <c r="N37">
        <v>2</v>
      </c>
      <c r="O37">
        <v>18845.98</v>
      </c>
      <c r="P37">
        <v>17422.86</v>
      </c>
      <c r="Q37" s="15"/>
    </row>
    <row r="38" spans="1:17" x14ac:dyDescent="0.25">
      <c r="A38">
        <v>2017</v>
      </c>
      <c r="B38">
        <v>2020</v>
      </c>
      <c r="C38" t="s">
        <v>134</v>
      </c>
      <c r="D38">
        <v>45481</v>
      </c>
      <c r="E38">
        <v>45</v>
      </c>
      <c r="F38">
        <v>43</v>
      </c>
      <c r="G38">
        <v>38</v>
      </c>
      <c r="H38">
        <v>4</v>
      </c>
      <c r="I38">
        <v>0</v>
      </c>
      <c r="J38">
        <v>1</v>
      </c>
      <c r="K38">
        <v>1</v>
      </c>
      <c r="L38">
        <v>8</v>
      </c>
      <c r="M38">
        <v>8</v>
      </c>
      <c r="N38">
        <v>7</v>
      </c>
      <c r="O38">
        <v>33328.379999999997</v>
      </c>
      <c r="P38">
        <v>31781.040000000001</v>
      </c>
      <c r="Q38" s="15"/>
    </row>
    <row r="39" spans="1:17" x14ac:dyDescent="0.25">
      <c r="A39">
        <v>2017</v>
      </c>
      <c r="B39">
        <v>2020</v>
      </c>
      <c r="C39" t="s">
        <v>134</v>
      </c>
      <c r="D39">
        <v>47310</v>
      </c>
      <c r="E39">
        <v>47</v>
      </c>
      <c r="F39">
        <v>43</v>
      </c>
      <c r="G39">
        <v>37</v>
      </c>
      <c r="H39">
        <v>5</v>
      </c>
      <c r="I39">
        <v>0</v>
      </c>
      <c r="J39">
        <v>1</v>
      </c>
      <c r="K39">
        <v>2</v>
      </c>
      <c r="L39">
        <v>1</v>
      </c>
      <c r="M39">
        <v>1</v>
      </c>
      <c r="N39">
        <v>1</v>
      </c>
      <c r="O39">
        <v>20208.349999999999</v>
      </c>
      <c r="P39">
        <v>16845.68</v>
      </c>
      <c r="Q39" s="15"/>
    </row>
    <row r="40" spans="1:17" x14ac:dyDescent="0.25">
      <c r="A40">
        <v>2017</v>
      </c>
      <c r="B40">
        <v>2020</v>
      </c>
      <c r="C40" t="s">
        <v>134</v>
      </c>
      <c r="D40">
        <v>47344</v>
      </c>
      <c r="E40">
        <v>47</v>
      </c>
      <c r="F40">
        <v>35</v>
      </c>
      <c r="G40">
        <v>31</v>
      </c>
      <c r="H40">
        <v>4</v>
      </c>
      <c r="I40">
        <v>0</v>
      </c>
      <c r="J40">
        <v>0</v>
      </c>
      <c r="K40">
        <v>0</v>
      </c>
      <c r="L40">
        <v>14</v>
      </c>
      <c r="M40">
        <v>10</v>
      </c>
      <c r="N40">
        <v>9</v>
      </c>
      <c r="O40">
        <v>17617.099999999999</v>
      </c>
      <c r="P40">
        <v>18470.490000000002</v>
      </c>
      <c r="Q40" s="15"/>
    </row>
    <row r="41" spans="1:17" x14ac:dyDescent="0.25">
      <c r="A41">
        <v>2017</v>
      </c>
      <c r="B41">
        <v>2020</v>
      </c>
      <c r="C41" t="s">
        <v>134</v>
      </c>
      <c r="D41">
        <v>47380</v>
      </c>
      <c r="E41">
        <v>47</v>
      </c>
      <c r="F41">
        <v>125</v>
      </c>
      <c r="G41">
        <v>118</v>
      </c>
      <c r="H41">
        <v>6</v>
      </c>
      <c r="I41">
        <v>0</v>
      </c>
      <c r="J41">
        <v>1</v>
      </c>
      <c r="K41">
        <v>0</v>
      </c>
      <c r="L41">
        <v>22</v>
      </c>
      <c r="M41">
        <v>14</v>
      </c>
      <c r="N41">
        <v>14</v>
      </c>
      <c r="O41">
        <v>24456.63</v>
      </c>
      <c r="P41">
        <v>20330.189999999999</v>
      </c>
      <c r="Q41" s="15"/>
    </row>
    <row r="42" spans="1:17" x14ac:dyDescent="0.25">
      <c r="A42">
        <v>2017</v>
      </c>
      <c r="B42">
        <v>2020</v>
      </c>
      <c r="C42" t="s">
        <v>134</v>
      </c>
      <c r="D42">
        <v>48141</v>
      </c>
      <c r="E42">
        <v>48</v>
      </c>
      <c r="F42">
        <v>39</v>
      </c>
      <c r="G42">
        <v>38</v>
      </c>
      <c r="H42">
        <v>0</v>
      </c>
      <c r="I42">
        <v>0</v>
      </c>
      <c r="J42">
        <v>1</v>
      </c>
      <c r="K42">
        <v>1</v>
      </c>
      <c r="L42">
        <v>4</v>
      </c>
      <c r="M42">
        <v>3</v>
      </c>
      <c r="N42">
        <v>3</v>
      </c>
      <c r="O42">
        <v>14892.53</v>
      </c>
      <c r="P42">
        <v>14245.82</v>
      </c>
      <c r="Q42" s="15"/>
    </row>
    <row r="43" spans="1:17" x14ac:dyDescent="0.25">
      <c r="A43">
        <v>2017</v>
      </c>
      <c r="B43">
        <v>2020</v>
      </c>
      <c r="C43" t="s">
        <v>134</v>
      </c>
      <c r="D43">
        <v>48721</v>
      </c>
      <c r="E43">
        <v>48</v>
      </c>
      <c r="F43">
        <v>91</v>
      </c>
      <c r="G43">
        <v>82</v>
      </c>
      <c r="H43">
        <v>1</v>
      </c>
      <c r="I43">
        <v>0</v>
      </c>
      <c r="J43">
        <v>8</v>
      </c>
      <c r="K43">
        <v>0</v>
      </c>
      <c r="L43">
        <v>20</v>
      </c>
      <c r="M43">
        <v>18</v>
      </c>
      <c r="N43">
        <v>18</v>
      </c>
      <c r="O43">
        <v>38788.230000000003</v>
      </c>
      <c r="P43">
        <v>36702.75</v>
      </c>
      <c r="Q43" s="15"/>
    </row>
    <row r="44" spans="1:17" x14ac:dyDescent="0.25">
      <c r="A44">
        <v>2017</v>
      </c>
      <c r="B44">
        <v>2020</v>
      </c>
      <c r="C44" t="s">
        <v>133</v>
      </c>
      <c r="D44">
        <v>41582</v>
      </c>
      <c r="E44">
        <v>41</v>
      </c>
      <c r="F44">
        <v>31</v>
      </c>
      <c r="G44">
        <v>31</v>
      </c>
      <c r="H44">
        <v>0</v>
      </c>
      <c r="I44">
        <v>0</v>
      </c>
      <c r="J44">
        <v>0</v>
      </c>
      <c r="K44">
        <v>0</v>
      </c>
      <c r="L44">
        <v>7</v>
      </c>
      <c r="M44">
        <v>3</v>
      </c>
      <c r="N44">
        <v>3</v>
      </c>
      <c r="O44">
        <v>19740.47</v>
      </c>
      <c r="P44">
        <v>19007.669999999998</v>
      </c>
      <c r="Q44" s="15"/>
    </row>
    <row r="45" spans="1:17" x14ac:dyDescent="0.25">
      <c r="A45">
        <v>2017</v>
      </c>
      <c r="B45">
        <v>2020</v>
      </c>
      <c r="C45" t="s">
        <v>133</v>
      </c>
      <c r="D45">
        <v>42345</v>
      </c>
      <c r="E45">
        <v>42</v>
      </c>
      <c r="F45">
        <v>183</v>
      </c>
      <c r="G45">
        <v>160</v>
      </c>
      <c r="H45">
        <v>21</v>
      </c>
      <c r="I45">
        <v>0</v>
      </c>
      <c r="J45">
        <v>2</v>
      </c>
      <c r="K45">
        <v>2</v>
      </c>
      <c r="L45">
        <v>23</v>
      </c>
      <c r="M45">
        <v>21</v>
      </c>
      <c r="N45">
        <v>21</v>
      </c>
      <c r="O45">
        <v>17233.59</v>
      </c>
      <c r="P45">
        <v>15958.08</v>
      </c>
      <c r="Q45" s="15"/>
    </row>
    <row r="46" spans="1:17" x14ac:dyDescent="0.25">
      <c r="A46">
        <v>2017</v>
      </c>
      <c r="B46">
        <v>2020</v>
      </c>
      <c r="C46" t="s">
        <v>133</v>
      </c>
      <c r="D46">
        <v>42522</v>
      </c>
      <c r="E46">
        <v>42</v>
      </c>
      <c r="F46">
        <v>47</v>
      </c>
      <c r="G46">
        <v>39</v>
      </c>
      <c r="H46">
        <v>3</v>
      </c>
      <c r="I46">
        <v>0</v>
      </c>
      <c r="J46">
        <v>5</v>
      </c>
      <c r="K46">
        <v>1</v>
      </c>
      <c r="L46">
        <v>7</v>
      </c>
      <c r="M46">
        <v>7</v>
      </c>
      <c r="N46">
        <v>7</v>
      </c>
      <c r="O46">
        <v>20003.62</v>
      </c>
      <c r="P46">
        <v>21549.17</v>
      </c>
      <c r="Q46" s="15"/>
    </row>
    <row r="47" spans="1:17" x14ac:dyDescent="0.25">
      <c r="A47">
        <v>2017</v>
      </c>
      <c r="B47">
        <v>2020</v>
      </c>
      <c r="C47" t="s">
        <v>133</v>
      </c>
      <c r="D47">
        <v>42525</v>
      </c>
      <c r="E47">
        <v>42</v>
      </c>
      <c r="F47">
        <v>94</v>
      </c>
      <c r="G47">
        <v>74</v>
      </c>
      <c r="H47">
        <v>17</v>
      </c>
      <c r="I47">
        <v>0</v>
      </c>
      <c r="J47">
        <v>3</v>
      </c>
      <c r="K47">
        <v>3</v>
      </c>
      <c r="L47">
        <v>8</v>
      </c>
      <c r="M47">
        <v>7</v>
      </c>
      <c r="N47">
        <v>6</v>
      </c>
      <c r="O47">
        <v>18002.8</v>
      </c>
      <c r="P47">
        <v>17493.669999999998</v>
      </c>
      <c r="Q47" s="15"/>
    </row>
    <row r="48" spans="1:17" x14ac:dyDescent="0.25">
      <c r="A48">
        <v>2017</v>
      </c>
      <c r="B48">
        <v>2020</v>
      </c>
      <c r="C48" t="s">
        <v>133</v>
      </c>
      <c r="D48">
        <v>42582</v>
      </c>
      <c r="E48">
        <v>42</v>
      </c>
      <c r="F48">
        <v>135</v>
      </c>
      <c r="G48">
        <v>129</v>
      </c>
      <c r="H48">
        <v>4</v>
      </c>
      <c r="I48">
        <v>1</v>
      </c>
      <c r="J48">
        <v>1</v>
      </c>
      <c r="K48">
        <v>0</v>
      </c>
      <c r="L48">
        <v>18</v>
      </c>
      <c r="M48">
        <v>18</v>
      </c>
      <c r="N48">
        <v>18</v>
      </c>
      <c r="O48">
        <v>25115.29</v>
      </c>
      <c r="P48">
        <v>22933.05</v>
      </c>
      <c r="Q48" s="15"/>
    </row>
    <row r="49" spans="1:17" x14ac:dyDescent="0.25">
      <c r="A49">
        <v>2017</v>
      </c>
      <c r="B49">
        <v>2020</v>
      </c>
      <c r="C49" t="s">
        <v>133</v>
      </c>
      <c r="D49">
        <v>42861</v>
      </c>
      <c r="E49">
        <v>42</v>
      </c>
      <c r="F49">
        <v>96</v>
      </c>
      <c r="G49">
        <v>81</v>
      </c>
      <c r="H49">
        <v>12</v>
      </c>
      <c r="I49">
        <v>1</v>
      </c>
      <c r="J49">
        <v>2</v>
      </c>
      <c r="K49">
        <v>0</v>
      </c>
      <c r="L49">
        <v>4</v>
      </c>
      <c r="M49">
        <v>3</v>
      </c>
      <c r="N49">
        <v>3</v>
      </c>
      <c r="O49">
        <v>15394.13</v>
      </c>
      <c r="P49">
        <v>14749.51</v>
      </c>
      <c r="Q49" s="15"/>
    </row>
    <row r="50" spans="1:17" x14ac:dyDescent="0.25">
      <c r="A50">
        <v>2017</v>
      </c>
      <c r="B50">
        <v>2020</v>
      </c>
      <c r="C50" t="s">
        <v>133</v>
      </c>
      <c r="D50">
        <v>43345</v>
      </c>
      <c r="E50">
        <v>43</v>
      </c>
      <c r="F50">
        <v>95</v>
      </c>
      <c r="G50">
        <v>54</v>
      </c>
      <c r="H50">
        <v>12</v>
      </c>
      <c r="I50">
        <v>0</v>
      </c>
      <c r="J50">
        <v>29</v>
      </c>
      <c r="K50">
        <v>22</v>
      </c>
      <c r="L50">
        <v>23</v>
      </c>
      <c r="M50">
        <v>14</v>
      </c>
      <c r="N50">
        <v>14</v>
      </c>
      <c r="O50">
        <v>21408.1</v>
      </c>
      <c r="P50">
        <v>17510.509999999998</v>
      </c>
      <c r="Q50" s="15"/>
    </row>
    <row r="51" spans="1:17" x14ac:dyDescent="0.25">
      <c r="A51">
        <v>2017</v>
      </c>
      <c r="B51">
        <v>2020</v>
      </c>
      <c r="C51" t="s">
        <v>133</v>
      </c>
      <c r="D51">
        <v>43481</v>
      </c>
      <c r="E51">
        <v>43</v>
      </c>
      <c r="F51">
        <v>127</v>
      </c>
      <c r="G51">
        <v>109</v>
      </c>
      <c r="H51">
        <v>7</v>
      </c>
      <c r="I51">
        <v>1</v>
      </c>
      <c r="J51">
        <v>10</v>
      </c>
      <c r="K51">
        <v>4</v>
      </c>
      <c r="L51">
        <v>5</v>
      </c>
      <c r="M51">
        <v>5</v>
      </c>
      <c r="N51">
        <v>5</v>
      </c>
      <c r="O51">
        <v>27921.8</v>
      </c>
      <c r="P51">
        <v>25271.25</v>
      </c>
      <c r="Q51" s="15"/>
    </row>
    <row r="52" spans="1:17" x14ac:dyDescent="0.25">
      <c r="A52">
        <v>2017</v>
      </c>
      <c r="B52">
        <v>2020</v>
      </c>
      <c r="C52" t="s">
        <v>133</v>
      </c>
      <c r="D52">
        <v>43522</v>
      </c>
      <c r="E52">
        <v>43</v>
      </c>
      <c r="F52">
        <v>57</v>
      </c>
      <c r="G52">
        <v>53</v>
      </c>
      <c r="H52">
        <v>4</v>
      </c>
      <c r="I52">
        <v>0</v>
      </c>
      <c r="J52">
        <v>0</v>
      </c>
      <c r="K52">
        <v>0</v>
      </c>
      <c r="L52">
        <v>12</v>
      </c>
      <c r="M52">
        <v>6</v>
      </c>
      <c r="N52">
        <v>5</v>
      </c>
      <c r="O52">
        <v>19387.080000000002</v>
      </c>
      <c r="P52">
        <v>18054.150000000001</v>
      </c>
      <c r="Q52" s="15"/>
    </row>
    <row r="53" spans="1:17" x14ac:dyDescent="0.25">
      <c r="A53">
        <v>2017</v>
      </c>
      <c r="B53">
        <v>2020</v>
      </c>
      <c r="C53" t="s">
        <v>133</v>
      </c>
      <c r="D53">
        <v>43523</v>
      </c>
      <c r="E53">
        <v>43</v>
      </c>
      <c r="F53">
        <v>76</v>
      </c>
      <c r="G53">
        <v>60</v>
      </c>
      <c r="H53">
        <v>6</v>
      </c>
      <c r="I53">
        <v>1</v>
      </c>
      <c r="J53">
        <v>9</v>
      </c>
      <c r="K53">
        <v>3</v>
      </c>
      <c r="L53">
        <v>11</v>
      </c>
      <c r="M53">
        <v>9</v>
      </c>
      <c r="N53">
        <v>9</v>
      </c>
      <c r="O53">
        <v>21744.41</v>
      </c>
      <c r="P53">
        <v>19644.13</v>
      </c>
      <c r="Q53" s="15"/>
    </row>
    <row r="54" spans="1:17" x14ac:dyDescent="0.25">
      <c r="A54">
        <v>2017</v>
      </c>
      <c r="B54">
        <v>2020</v>
      </c>
      <c r="C54" t="s">
        <v>133</v>
      </c>
      <c r="D54">
        <v>43581</v>
      </c>
      <c r="E54">
        <v>43</v>
      </c>
      <c r="F54">
        <v>37</v>
      </c>
      <c r="G54">
        <v>33</v>
      </c>
      <c r="H54">
        <v>4</v>
      </c>
      <c r="I54">
        <v>0</v>
      </c>
      <c r="J54">
        <v>0</v>
      </c>
      <c r="K54">
        <v>0</v>
      </c>
      <c r="L54">
        <v>7</v>
      </c>
      <c r="M54">
        <v>6</v>
      </c>
      <c r="N54">
        <v>6</v>
      </c>
      <c r="O54">
        <v>16496.28</v>
      </c>
      <c r="P54">
        <v>13915.46</v>
      </c>
      <c r="Q54" s="15"/>
    </row>
    <row r="55" spans="1:17" x14ac:dyDescent="0.25">
      <c r="A55">
        <v>2017</v>
      </c>
      <c r="B55">
        <v>2020</v>
      </c>
      <c r="C55" t="s">
        <v>133</v>
      </c>
      <c r="D55">
        <v>45481</v>
      </c>
      <c r="E55">
        <v>45</v>
      </c>
      <c r="F55">
        <v>50</v>
      </c>
      <c r="G55">
        <v>35</v>
      </c>
      <c r="H55">
        <v>3</v>
      </c>
      <c r="I55">
        <v>2</v>
      </c>
      <c r="J55">
        <v>10</v>
      </c>
      <c r="K55">
        <v>12</v>
      </c>
      <c r="L55">
        <v>6</v>
      </c>
      <c r="M55">
        <v>4</v>
      </c>
      <c r="N55">
        <v>4</v>
      </c>
      <c r="O55">
        <v>33592.29</v>
      </c>
      <c r="P55">
        <v>30248.18</v>
      </c>
      <c r="Q55" s="15"/>
    </row>
    <row r="56" spans="1:17" x14ac:dyDescent="0.25">
      <c r="A56">
        <v>2017</v>
      </c>
      <c r="B56">
        <v>2020</v>
      </c>
      <c r="C56" t="s">
        <v>133</v>
      </c>
      <c r="D56">
        <v>45523</v>
      </c>
      <c r="E56">
        <v>45</v>
      </c>
      <c r="F56">
        <v>50</v>
      </c>
      <c r="G56">
        <v>40</v>
      </c>
      <c r="H56">
        <v>2</v>
      </c>
      <c r="I56">
        <v>1</v>
      </c>
      <c r="J56">
        <v>7</v>
      </c>
      <c r="K56">
        <v>2</v>
      </c>
      <c r="L56">
        <v>4</v>
      </c>
      <c r="M56">
        <v>3</v>
      </c>
      <c r="N56">
        <v>3</v>
      </c>
      <c r="O56">
        <v>23382.560000000001</v>
      </c>
      <c r="P56">
        <v>22404.13</v>
      </c>
      <c r="Q56" s="15"/>
    </row>
    <row r="57" spans="1:17" x14ac:dyDescent="0.25">
      <c r="A57">
        <v>2017</v>
      </c>
      <c r="B57">
        <v>2020</v>
      </c>
      <c r="C57" t="s">
        <v>133</v>
      </c>
      <c r="D57">
        <v>47345</v>
      </c>
      <c r="E57">
        <v>47</v>
      </c>
      <c r="F57">
        <v>114</v>
      </c>
      <c r="G57">
        <v>105</v>
      </c>
      <c r="H57">
        <v>6</v>
      </c>
      <c r="I57">
        <v>1</v>
      </c>
      <c r="J57">
        <v>2</v>
      </c>
      <c r="K57">
        <v>1</v>
      </c>
      <c r="L57">
        <v>24</v>
      </c>
      <c r="M57">
        <v>17</v>
      </c>
      <c r="N57">
        <v>17</v>
      </c>
      <c r="O57">
        <v>34751.97</v>
      </c>
      <c r="P57">
        <v>26490.02</v>
      </c>
      <c r="Q57" s="15"/>
    </row>
    <row r="58" spans="1:17" x14ac:dyDescent="0.25">
      <c r="A58">
        <v>2017</v>
      </c>
      <c r="B58">
        <v>2020</v>
      </c>
      <c r="C58" t="s">
        <v>133</v>
      </c>
      <c r="D58">
        <v>47522</v>
      </c>
      <c r="E58">
        <v>47</v>
      </c>
      <c r="F58">
        <v>37</v>
      </c>
      <c r="G58">
        <v>35</v>
      </c>
      <c r="H58">
        <v>2</v>
      </c>
      <c r="I58">
        <v>0</v>
      </c>
      <c r="J58">
        <v>0</v>
      </c>
      <c r="K58">
        <v>0</v>
      </c>
      <c r="L58">
        <v>5</v>
      </c>
      <c r="M58">
        <v>5</v>
      </c>
      <c r="N58">
        <v>5</v>
      </c>
      <c r="O58">
        <v>24808.02</v>
      </c>
      <c r="P58">
        <v>23776.19</v>
      </c>
      <c r="Q58" s="15"/>
    </row>
    <row r="59" spans="1:17" x14ac:dyDescent="0.25">
      <c r="A59">
        <v>2017</v>
      </c>
      <c r="B59">
        <v>2020</v>
      </c>
      <c r="C59" t="s">
        <v>133</v>
      </c>
      <c r="D59">
        <v>47525</v>
      </c>
      <c r="E59">
        <v>47</v>
      </c>
      <c r="F59">
        <v>47</v>
      </c>
      <c r="G59">
        <v>36</v>
      </c>
      <c r="H59">
        <v>3</v>
      </c>
      <c r="I59">
        <v>0</v>
      </c>
      <c r="J59">
        <v>8</v>
      </c>
      <c r="K59">
        <v>2</v>
      </c>
      <c r="L59">
        <v>2</v>
      </c>
      <c r="M59">
        <v>2</v>
      </c>
      <c r="N59">
        <v>2</v>
      </c>
      <c r="O59">
        <v>18948.96</v>
      </c>
      <c r="P59">
        <v>18263.32</v>
      </c>
      <c r="Q59" s="15"/>
    </row>
    <row r="60" spans="1:17" x14ac:dyDescent="0.25">
      <c r="A60">
        <v>2017</v>
      </c>
      <c r="B60">
        <v>2020</v>
      </c>
      <c r="C60" t="s">
        <v>133</v>
      </c>
      <c r="D60">
        <v>47582</v>
      </c>
      <c r="E60">
        <v>47</v>
      </c>
      <c r="F60">
        <v>68</v>
      </c>
      <c r="G60">
        <v>63</v>
      </c>
      <c r="H60">
        <v>3</v>
      </c>
      <c r="I60">
        <v>1</v>
      </c>
      <c r="J60">
        <v>1</v>
      </c>
      <c r="K60">
        <v>0</v>
      </c>
      <c r="L60">
        <v>17</v>
      </c>
      <c r="M60">
        <v>13</v>
      </c>
      <c r="N60">
        <v>10</v>
      </c>
      <c r="O60">
        <v>33974.879999999997</v>
      </c>
      <c r="P60">
        <v>23869.21</v>
      </c>
      <c r="Q60" s="15"/>
    </row>
    <row r="61" spans="1:17" x14ac:dyDescent="0.25">
      <c r="A61">
        <v>2017</v>
      </c>
      <c r="B61">
        <v>2020</v>
      </c>
      <c r="C61" t="s">
        <v>133</v>
      </c>
      <c r="D61">
        <v>47861</v>
      </c>
      <c r="E61">
        <v>47</v>
      </c>
      <c r="F61">
        <v>42</v>
      </c>
      <c r="G61">
        <v>36</v>
      </c>
      <c r="H61">
        <v>3</v>
      </c>
      <c r="I61">
        <v>0</v>
      </c>
      <c r="J61">
        <v>3</v>
      </c>
      <c r="K61">
        <v>0</v>
      </c>
      <c r="L61">
        <v>3</v>
      </c>
      <c r="M61">
        <v>3</v>
      </c>
      <c r="N61">
        <v>2</v>
      </c>
      <c r="O61">
        <v>20602.349999999999</v>
      </c>
      <c r="P61">
        <v>17498.310000000001</v>
      </c>
      <c r="Q61" s="15"/>
    </row>
    <row r="62" spans="1:17" x14ac:dyDescent="0.25">
      <c r="A62">
        <v>2017</v>
      </c>
      <c r="B62">
        <v>2020</v>
      </c>
      <c r="C62" t="s">
        <v>132</v>
      </c>
      <c r="D62">
        <v>41813</v>
      </c>
      <c r="E62">
        <v>41</v>
      </c>
      <c r="F62">
        <v>47</v>
      </c>
      <c r="G62">
        <v>38</v>
      </c>
      <c r="H62">
        <v>6</v>
      </c>
      <c r="I62">
        <v>0</v>
      </c>
      <c r="J62">
        <v>3</v>
      </c>
      <c r="K62">
        <v>0</v>
      </c>
      <c r="L62">
        <v>9</v>
      </c>
      <c r="M62">
        <v>8</v>
      </c>
      <c r="N62">
        <v>8</v>
      </c>
      <c r="O62">
        <v>10373.469999999999</v>
      </c>
      <c r="P62">
        <v>8069.73</v>
      </c>
      <c r="Q62" s="15"/>
    </row>
    <row r="63" spans="1:17" x14ac:dyDescent="0.25">
      <c r="A63">
        <v>2017</v>
      </c>
      <c r="B63">
        <v>2020</v>
      </c>
      <c r="C63" t="s">
        <v>132</v>
      </c>
      <c r="D63">
        <v>42380</v>
      </c>
      <c r="E63">
        <v>42</v>
      </c>
      <c r="F63">
        <v>105</v>
      </c>
      <c r="G63">
        <v>93</v>
      </c>
      <c r="H63">
        <v>12</v>
      </c>
      <c r="I63">
        <v>0</v>
      </c>
      <c r="J63">
        <v>0</v>
      </c>
      <c r="K63">
        <v>0</v>
      </c>
      <c r="L63">
        <v>7</v>
      </c>
      <c r="M63">
        <v>5</v>
      </c>
      <c r="N63">
        <v>5</v>
      </c>
      <c r="O63">
        <v>19422.849999999999</v>
      </c>
      <c r="P63">
        <v>18228.77</v>
      </c>
      <c r="Q63" s="15"/>
    </row>
    <row r="64" spans="1:17" x14ac:dyDescent="0.25">
      <c r="A64">
        <v>2017</v>
      </c>
      <c r="B64">
        <v>2020</v>
      </c>
      <c r="C64" t="s">
        <v>132</v>
      </c>
      <c r="D64">
        <v>42722</v>
      </c>
      <c r="E64">
        <v>42</v>
      </c>
      <c r="F64">
        <v>99</v>
      </c>
      <c r="G64">
        <v>85</v>
      </c>
      <c r="H64">
        <v>10</v>
      </c>
      <c r="I64">
        <v>0</v>
      </c>
      <c r="J64">
        <v>4</v>
      </c>
      <c r="K64">
        <v>0</v>
      </c>
      <c r="L64">
        <v>12</v>
      </c>
      <c r="M64">
        <v>11</v>
      </c>
      <c r="N64">
        <v>9</v>
      </c>
      <c r="O64">
        <v>14289.94</v>
      </c>
      <c r="P64">
        <v>14457.69</v>
      </c>
      <c r="Q64" s="15"/>
    </row>
    <row r="65" spans="1:17" x14ac:dyDescent="0.25">
      <c r="A65">
        <v>2017</v>
      </c>
      <c r="B65">
        <v>2020</v>
      </c>
      <c r="C65" t="s">
        <v>132</v>
      </c>
      <c r="D65">
        <v>42723</v>
      </c>
      <c r="E65">
        <v>42</v>
      </c>
      <c r="F65">
        <v>158</v>
      </c>
      <c r="G65">
        <v>145</v>
      </c>
      <c r="H65">
        <v>7</v>
      </c>
      <c r="I65">
        <v>2</v>
      </c>
      <c r="J65">
        <v>4</v>
      </c>
      <c r="K65">
        <v>0</v>
      </c>
      <c r="L65">
        <v>4</v>
      </c>
      <c r="M65">
        <v>3</v>
      </c>
      <c r="N65">
        <v>3</v>
      </c>
      <c r="O65">
        <v>16755.86</v>
      </c>
      <c r="P65">
        <v>14959.5</v>
      </c>
      <c r="Q65" s="15"/>
    </row>
    <row r="66" spans="1:17" x14ac:dyDescent="0.25">
      <c r="A66">
        <v>2017</v>
      </c>
      <c r="B66">
        <v>2020</v>
      </c>
      <c r="C66" t="s">
        <v>132</v>
      </c>
      <c r="D66">
        <v>42724</v>
      </c>
      <c r="E66">
        <v>42</v>
      </c>
      <c r="F66">
        <v>63</v>
      </c>
      <c r="G66">
        <v>39</v>
      </c>
      <c r="H66">
        <v>1</v>
      </c>
      <c r="I66">
        <v>0</v>
      </c>
      <c r="J66">
        <v>23</v>
      </c>
      <c r="K66">
        <v>0</v>
      </c>
      <c r="L66">
        <v>8</v>
      </c>
      <c r="M66">
        <v>5</v>
      </c>
      <c r="N66">
        <v>5</v>
      </c>
      <c r="O66">
        <v>33282.07</v>
      </c>
      <c r="P66">
        <v>29775.88</v>
      </c>
      <c r="Q66" s="15"/>
    </row>
    <row r="67" spans="1:17" x14ac:dyDescent="0.25">
      <c r="A67">
        <v>2017</v>
      </c>
      <c r="B67">
        <v>2020</v>
      </c>
      <c r="C67" t="s">
        <v>132</v>
      </c>
      <c r="D67">
        <v>43321</v>
      </c>
      <c r="E67">
        <v>43</v>
      </c>
      <c r="F67">
        <v>61</v>
      </c>
      <c r="G67">
        <v>48</v>
      </c>
      <c r="H67">
        <v>11</v>
      </c>
      <c r="I67">
        <v>1</v>
      </c>
      <c r="J67">
        <v>1</v>
      </c>
      <c r="K67">
        <v>0</v>
      </c>
      <c r="L67">
        <v>6</v>
      </c>
      <c r="M67">
        <v>6</v>
      </c>
      <c r="N67">
        <v>6</v>
      </c>
      <c r="O67">
        <v>13700.97</v>
      </c>
      <c r="P67">
        <v>13614.79</v>
      </c>
      <c r="Q67" s="15"/>
    </row>
    <row r="68" spans="1:17" x14ac:dyDescent="0.25">
      <c r="A68">
        <v>2017</v>
      </c>
      <c r="B68">
        <v>2020</v>
      </c>
      <c r="C68" t="s">
        <v>132</v>
      </c>
      <c r="D68">
        <v>43380</v>
      </c>
      <c r="E68">
        <v>43</v>
      </c>
      <c r="F68">
        <v>68</v>
      </c>
      <c r="G68">
        <v>57</v>
      </c>
      <c r="H68">
        <v>9</v>
      </c>
      <c r="I68">
        <v>0</v>
      </c>
      <c r="J68">
        <v>2</v>
      </c>
      <c r="K68">
        <v>0</v>
      </c>
      <c r="L68">
        <v>7</v>
      </c>
      <c r="M68">
        <v>6</v>
      </c>
      <c r="N68">
        <v>6</v>
      </c>
      <c r="O68">
        <v>20169.2</v>
      </c>
      <c r="P68">
        <v>18758.79</v>
      </c>
      <c r="Q68" s="15"/>
    </row>
    <row r="69" spans="1:17" x14ac:dyDescent="0.25">
      <c r="A69">
        <v>2017</v>
      </c>
      <c r="B69">
        <v>2020</v>
      </c>
      <c r="C69" t="s">
        <v>132</v>
      </c>
      <c r="D69">
        <v>47345</v>
      </c>
      <c r="E69">
        <v>47</v>
      </c>
      <c r="F69">
        <v>37</v>
      </c>
      <c r="G69">
        <v>34</v>
      </c>
      <c r="H69">
        <v>1</v>
      </c>
      <c r="I69">
        <v>0</v>
      </c>
      <c r="J69">
        <v>2</v>
      </c>
      <c r="K69">
        <v>1</v>
      </c>
      <c r="L69">
        <v>4</v>
      </c>
      <c r="M69">
        <v>3</v>
      </c>
      <c r="N69">
        <v>3</v>
      </c>
      <c r="O69">
        <v>27285.79</v>
      </c>
      <c r="P69">
        <v>23002.01</v>
      </c>
      <c r="Q69" s="15"/>
    </row>
    <row r="70" spans="1:17" x14ac:dyDescent="0.25">
      <c r="A70">
        <v>2017</v>
      </c>
      <c r="B70">
        <v>2020</v>
      </c>
      <c r="C70" t="s">
        <v>132</v>
      </c>
      <c r="D70">
        <v>47380</v>
      </c>
      <c r="E70">
        <v>47</v>
      </c>
      <c r="F70">
        <v>81</v>
      </c>
      <c r="G70">
        <v>73</v>
      </c>
      <c r="H70">
        <v>7</v>
      </c>
      <c r="I70">
        <v>1</v>
      </c>
      <c r="J70">
        <v>0</v>
      </c>
      <c r="K70">
        <v>0</v>
      </c>
      <c r="L70">
        <v>10</v>
      </c>
      <c r="M70">
        <v>6</v>
      </c>
      <c r="N70">
        <v>6</v>
      </c>
      <c r="O70">
        <v>21870.94</v>
      </c>
      <c r="P70">
        <v>19477.97</v>
      </c>
      <c r="Q70" s="15"/>
    </row>
    <row r="71" spans="1:17" x14ac:dyDescent="0.25">
      <c r="A71">
        <v>2017</v>
      </c>
      <c r="B71">
        <v>2020</v>
      </c>
      <c r="C71" t="s">
        <v>132</v>
      </c>
      <c r="D71">
        <v>47721</v>
      </c>
      <c r="E71">
        <v>47</v>
      </c>
      <c r="F71">
        <v>127</v>
      </c>
      <c r="G71">
        <v>121</v>
      </c>
      <c r="H71">
        <v>2</v>
      </c>
      <c r="I71">
        <v>0</v>
      </c>
      <c r="J71">
        <v>4</v>
      </c>
      <c r="K71">
        <v>2</v>
      </c>
      <c r="L71">
        <v>14</v>
      </c>
      <c r="M71">
        <v>14</v>
      </c>
      <c r="N71">
        <v>14</v>
      </c>
      <c r="O71">
        <v>45966.559999999998</v>
      </c>
      <c r="P71">
        <v>43985.440000000002</v>
      </c>
      <c r="Q71" s="15"/>
    </row>
    <row r="72" spans="1:17" x14ac:dyDescent="0.25">
      <c r="A72">
        <v>2017</v>
      </c>
      <c r="B72">
        <v>2020</v>
      </c>
      <c r="C72" t="s">
        <v>132</v>
      </c>
      <c r="D72">
        <v>49721</v>
      </c>
      <c r="E72">
        <v>49</v>
      </c>
      <c r="F72">
        <v>257</v>
      </c>
      <c r="G72">
        <v>137</v>
      </c>
      <c r="H72">
        <v>23</v>
      </c>
      <c r="I72">
        <v>3</v>
      </c>
      <c r="J72">
        <v>94</v>
      </c>
      <c r="K72">
        <v>1</v>
      </c>
      <c r="L72">
        <v>8</v>
      </c>
      <c r="M72">
        <v>8</v>
      </c>
      <c r="N72">
        <v>8</v>
      </c>
      <c r="O72">
        <v>32628.25</v>
      </c>
      <c r="P72">
        <v>31864.89</v>
      </c>
      <c r="Q72" s="15"/>
    </row>
    <row r="73" spans="1:17" x14ac:dyDescent="0.25">
      <c r="A73">
        <v>2017</v>
      </c>
      <c r="B73">
        <v>2020</v>
      </c>
      <c r="C73" t="s">
        <v>131</v>
      </c>
      <c r="D73">
        <v>41813</v>
      </c>
      <c r="E73">
        <v>41</v>
      </c>
      <c r="F73">
        <v>52</v>
      </c>
      <c r="G73">
        <v>39</v>
      </c>
      <c r="H73">
        <v>12</v>
      </c>
      <c r="I73">
        <v>1</v>
      </c>
      <c r="J73">
        <v>0</v>
      </c>
      <c r="K73">
        <v>0</v>
      </c>
      <c r="L73">
        <v>13</v>
      </c>
      <c r="M73">
        <v>10</v>
      </c>
      <c r="N73">
        <v>9</v>
      </c>
      <c r="O73">
        <v>14923.05</v>
      </c>
      <c r="P73">
        <v>14070.69</v>
      </c>
      <c r="Q73" s="15"/>
    </row>
    <row r="74" spans="1:17" x14ac:dyDescent="0.25">
      <c r="A74">
        <v>2017</v>
      </c>
      <c r="B74">
        <v>2020</v>
      </c>
      <c r="C74" t="s">
        <v>131</v>
      </c>
      <c r="D74">
        <v>42722</v>
      </c>
      <c r="E74">
        <v>42</v>
      </c>
      <c r="F74">
        <v>49</v>
      </c>
      <c r="G74">
        <v>45</v>
      </c>
      <c r="H74">
        <v>3</v>
      </c>
      <c r="I74">
        <v>1</v>
      </c>
      <c r="J74">
        <v>0</v>
      </c>
      <c r="K74">
        <v>1</v>
      </c>
      <c r="L74">
        <v>3</v>
      </c>
      <c r="M74">
        <v>3</v>
      </c>
      <c r="N74">
        <v>2</v>
      </c>
      <c r="O74">
        <v>15941.24</v>
      </c>
      <c r="P74">
        <v>12238.8</v>
      </c>
      <c r="Q74" s="15"/>
    </row>
    <row r="75" spans="1:17" x14ac:dyDescent="0.25">
      <c r="A75">
        <v>2017</v>
      </c>
      <c r="B75">
        <v>2020</v>
      </c>
      <c r="C75" t="s">
        <v>131</v>
      </c>
      <c r="D75">
        <v>42813</v>
      </c>
      <c r="E75">
        <v>42</v>
      </c>
      <c r="F75">
        <v>70</v>
      </c>
      <c r="G75">
        <v>61</v>
      </c>
      <c r="H75">
        <v>7</v>
      </c>
      <c r="I75">
        <v>0</v>
      </c>
      <c r="J75">
        <v>2</v>
      </c>
      <c r="K75">
        <v>0</v>
      </c>
      <c r="L75">
        <v>8</v>
      </c>
      <c r="M75">
        <v>8</v>
      </c>
      <c r="N75">
        <v>8</v>
      </c>
      <c r="O75">
        <v>14079.1</v>
      </c>
      <c r="P75">
        <v>14415.9</v>
      </c>
      <c r="Q75" s="15"/>
    </row>
    <row r="76" spans="1:17" x14ac:dyDescent="0.25">
      <c r="A76">
        <v>2017</v>
      </c>
      <c r="B76">
        <v>2020</v>
      </c>
      <c r="C76" t="s">
        <v>130</v>
      </c>
      <c r="D76">
        <v>43211</v>
      </c>
      <c r="E76">
        <v>43</v>
      </c>
      <c r="F76">
        <v>93</v>
      </c>
      <c r="G76">
        <v>72</v>
      </c>
      <c r="H76">
        <v>13</v>
      </c>
      <c r="I76">
        <v>2</v>
      </c>
      <c r="J76">
        <v>6</v>
      </c>
      <c r="K76">
        <v>0</v>
      </c>
      <c r="L76">
        <v>17</v>
      </c>
      <c r="M76">
        <v>15</v>
      </c>
      <c r="N76">
        <v>15</v>
      </c>
      <c r="O76">
        <v>9025.82</v>
      </c>
      <c r="P76">
        <v>7558.45</v>
      </c>
      <c r="Q76" s="15"/>
    </row>
    <row r="77" spans="1:17" x14ac:dyDescent="0.25">
      <c r="A77">
        <v>2017</v>
      </c>
      <c r="B77">
        <v>2020</v>
      </c>
      <c r="C77" t="s">
        <v>130</v>
      </c>
      <c r="D77">
        <v>45211</v>
      </c>
      <c r="E77">
        <v>45</v>
      </c>
      <c r="F77">
        <v>78</v>
      </c>
      <c r="G77">
        <v>56</v>
      </c>
      <c r="H77">
        <v>12</v>
      </c>
      <c r="I77">
        <v>1</v>
      </c>
      <c r="J77">
        <v>9</v>
      </c>
      <c r="K77">
        <v>0</v>
      </c>
      <c r="L77">
        <v>18</v>
      </c>
      <c r="M77">
        <v>16</v>
      </c>
      <c r="N77">
        <v>15</v>
      </c>
      <c r="O77">
        <v>12610.35</v>
      </c>
      <c r="P77">
        <v>9749.67</v>
      </c>
      <c r="Q77" s="15"/>
    </row>
    <row r="78" spans="1:17" x14ac:dyDescent="0.25">
      <c r="A78">
        <v>2017</v>
      </c>
      <c r="B78">
        <v>2020</v>
      </c>
      <c r="C78" t="s">
        <v>129</v>
      </c>
      <c r="D78">
        <v>42212</v>
      </c>
      <c r="E78">
        <v>42</v>
      </c>
      <c r="F78">
        <v>60</v>
      </c>
      <c r="G78">
        <v>50</v>
      </c>
      <c r="H78">
        <v>7</v>
      </c>
      <c r="I78">
        <v>1</v>
      </c>
      <c r="J78">
        <v>2</v>
      </c>
      <c r="K78">
        <v>1</v>
      </c>
      <c r="L78">
        <v>6</v>
      </c>
      <c r="M78">
        <v>4</v>
      </c>
      <c r="N78">
        <v>4</v>
      </c>
      <c r="O78">
        <v>16028.24</v>
      </c>
      <c r="P78">
        <v>14285.7</v>
      </c>
      <c r="Q78" s="15"/>
    </row>
    <row r="79" spans="1:17" x14ac:dyDescent="0.25">
      <c r="A79">
        <v>2017</v>
      </c>
      <c r="B79">
        <v>2020</v>
      </c>
      <c r="C79" t="s">
        <v>128</v>
      </c>
      <c r="D79">
        <v>43212</v>
      </c>
      <c r="E79">
        <v>43</v>
      </c>
      <c r="F79">
        <v>80</v>
      </c>
      <c r="G79">
        <v>63</v>
      </c>
      <c r="H79">
        <v>10</v>
      </c>
      <c r="I79">
        <v>1</v>
      </c>
      <c r="J79">
        <v>6</v>
      </c>
      <c r="K79">
        <v>0</v>
      </c>
      <c r="L79">
        <v>7</v>
      </c>
      <c r="M79">
        <v>7</v>
      </c>
      <c r="N79">
        <v>7</v>
      </c>
      <c r="O79">
        <v>11985.74</v>
      </c>
      <c r="P79">
        <v>11976.23</v>
      </c>
      <c r="Q79" s="15"/>
    </row>
    <row r="80" spans="1:17" x14ac:dyDescent="0.25">
      <c r="A80">
        <v>2017</v>
      </c>
      <c r="B80">
        <v>2020</v>
      </c>
      <c r="C80" t="s">
        <v>127</v>
      </c>
      <c r="D80">
        <v>42343</v>
      </c>
      <c r="E80">
        <v>42</v>
      </c>
      <c r="F80">
        <v>161</v>
      </c>
      <c r="G80">
        <v>139</v>
      </c>
      <c r="H80">
        <v>17</v>
      </c>
      <c r="I80">
        <v>1</v>
      </c>
      <c r="J80">
        <v>4</v>
      </c>
      <c r="K80">
        <v>2</v>
      </c>
      <c r="L80">
        <v>18</v>
      </c>
      <c r="M80">
        <v>15</v>
      </c>
      <c r="N80">
        <v>14</v>
      </c>
      <c r="O80">
        <v>21466.53</v>
      </c>
      <c r="P80">
        <v>19375</v>
      </c>
      <c r="Q80" s="15"/>
    </row>
    <row r="81" spans="1:17" x14ac:dyDescent="0.25">
      <c r="A81">
        <v>2017</v>
      </c>
      <c r="B81">
        <v>2020</v>
      </c>
      <c r="C81" t="s">
        <v>127</v>
      </c>
      <c r="D81">
        <v>42345</v>
      </c>
      <c r="E81">
        <v>42</v>
      </c>
      <c r="F81">
        <v>77</v>
      </c>
      <c r="G81">
        <v>64</v>
      </c>
      <c r="H81">
        <v>9</v>
      </c>
      <c r="I81">
        <v>2</v>
      </c>
      <c r="J81">
        <v>2</v>
      </c>
      <c r="K81">
        <v>1</v>
      </c>
      <c r="L81">
        <v>14</v>
      </c>
      <c r="M81">
        <v>9</v>
      </c>
      <c r="N81">
        <v>9</v>
      </c>
      <c r="O81">
        <v>20253.38</v>
      </c>
      <c r="P81">
        <v>18195.25</v>
      </c>
      <c r="Q81" s="15"/>
    </row>
    <row r="82" spans="1:17" x14ac:dyDescent="0.25">
      <c r="A82">
        <v>2017</v>
      </c>
      <c r="B82">
        <v>2020</v>
      </c>
      <c r="C82" t="s">
        <v>127</v>
      </c>
      <c r="D82">
        <v>47343</v>
      </c>
      <c r="E82">
        <v>47</v>
      </c>
      <c r="F82">
        <v>50</v>
      </c>
      <c r="G82">
        <v>41</v>
      </c>
      <c r="H82">
        <v>6</v>
      </c>
      <c r="I82">
        <v>1</v>
      </c>
      <c r="J82">
        <v>2</v>
      </c>
      <c r="K82">
        <v>0</v>
      </c>
      <c r="L82">
        <v>12</v>
      </c>
      <c r="M82">
        <v>10</v>
      </c>
      <c r="N82">
        <v>9</v>
      </c>
      <c r="O82">
        <v>31933.29</v>
      </c>
      <c r="P82">
        <v>25751.85</v>
      </c>
      <c r="Q82" s="15"/>
    </row>
    <row r="83" spans="1:17" x14ac:dyDescent="0.25">
      <c r="A83">
        <v>2017</v>
      </c>
      <c r="B83">
        <v>2020</v>
      </c>
      <c r="C83" t="s">
        <v>127</v>
      </c>
      <c r="D83">
        <v>47345</v>
      </c>
      <c r="E83">
        <v>47</v>
      </c>
      <c r="F83">
        <v>52</v>
      </c>
      <c r="G83">
        <v>38</v>
      </c>
      <c r="H83">
        <v>9</v>
      </c>
      <c r="I83">
        <v>0</v>
      </c>
      <c r="J83">
        <v>5</v>
      </c>
      <c r="K83">
        <v>0</v>
      </c>
      <c r="L83">
        <v>11</v>
      </c>
      <c r="M83">
        <v>10</v>
      </c>
      <c r="N83">
        <v>10</v>
      </c>
      <c r="O83">
        <v>30280.17</v>
      </c>
      <c r="P83">
        <v>20092.02</v>
      </c>
      <c r="Q83" s="15"/>
    </row>
    <row r="84" spans="1:17" x14ac:dyDescent="0.25">
      <c r="A84">
        <v>2017</v>
      </c>
      <c r="B84">
        <v>2020</v>
      </c>
      <c r="C84" t="s">
        <v>126</v>
      </c>
      <c r="D84">
        <v>42525</v>
      </c>
      <c r="E84">
        <v>42</v>
      </c>
      <c r="F84">
        <v>90</v>
      </c>
      <c r="G84">
        <v>81</v>
      </c>
      <c r="H84">
        <v>3</v>
      </c>
      <c r="I84">
        <v>0</v>
      </c>
      <c r="J84">
        <v>6</v>
      </c>
      <c r="K84">
        <v>0</v>
      </c>
      <c r="L84">
        <v>1</v>
      </c>
      <c r="M84">
        <v>1</v>
      </c>
      <c r="N84">
        <v>1</v>
      </c>
      <c r="O84">
        <v>9155.25</v>
      </c>
      <c r="P84">
        <v>7363.53</v>
      </c>
      <c r="Q84" s="15"/>
    </row>
    <row r="85" spans="1:17" x14ac:dyDescent="0.25">
      <c r="A85">
        <v>2017</v>
      </c>
      <c r="B85">
        <v>2020</v>
      </c>
      <c r="C85" t="s">
        <v>124</v>
      </c>
      <c r="D85">
        <v>42345</v>
      </c>
      <c r="E85">
        <v>42</v>
      </c>
      <c r="F85">
        <v>74</v>
      </c>
      <c r="G85">
        <v>39</v>
      </c>
      <c r="H85">
        <v>18</v>
      </c>
      <c r="I85">
        <v>0</v>
      </c>
      <c r="J85">
        <v>17</v>
      </c>
      <c r="K85">
        <v>2</v>
      </c>
      <c r="L85">
        <v>12</v>
      </c>
      <c r="M85">
        <v>9</v>
      </c>
      <c r="N85">
        <v>9</v>
      </c>
      <c r="O85">
        <v>20868.03</v>
      </c>
      <c r="P85">
        <v>14076.24</v>
      </c>
      <c r="Q85" s="15"/>
    </row>
    <row r="86" spans="1:17" x14ac:dyDescent="0.25">
      <c r="A86">
        <v>2017</v>
      </c>
      <c r="B86">
        <v>2020</v>
      </c>
      <c r="C86" t="s">
        <v>124</v>
      </c>
      <c r="D86">
        <v>42380</v>
      </c>
      <c r="E86">
        <v>42</v>
      </c>
      <c r="F86">
        <v>96</v>
      </c>
      <c r="G86">
        <v>81</v>
      </c>
      <c r="H86">
        <v>8</v>
      </c>
      <c r="I86">
        <v>0</v>
      </c>
      <c r="J86">
        <v>7</v>
      </c>
      <c r="K86">
        <v>2</v>
      </c>
      <c r="L86">
        <v>11</v>
      </c>
      <c r="M86">
        <v>8</v>
      </c>
      <c r="N86">
        <v>8</v>
      </c>
      <c r="O86">
        <v>18416.71</v>
      </c>
      <c r="P86">
        <v>16118.01</v>
      </c>
      <c r="Q86" s="15"/>
    </row>
    <row r="87" spans="1:17" x14ac:dyDescent="0.25">
      <c r="A87">
        <v>2017</v>
      </c>
      <c r="B87">
        <v>2020</v>
      </c>
      <c r="C87" t="s">
        <v>124</v>
      </c>
      <c r="D87">
        <v>42762</v>
      </c>
      <c r="E87">
        <v>42</v>
      </c>
      <c r="F87">
        <v>48</v>
      </c>
      <c r="G87">
        <v>48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12650.52</v>
      </c>
      <c r="P87">
        <v>12110.34</v>
      </c>
      <c r="Q87" s="15"/>
    </row>
    <row r="88" spans="1:17" x14ac:dyDescent="0.25">
      <c r="A88">
        <v>2017</v>
      </c>
      <c r="B88">
        <v>2020</v>
      </c>
      <c r="C88" t="s">
        <v>124</v>
      </c>
      <c r="D88">
        <v>47380</v>
      </c>
      <c r="E88">
        <v>47</v>
      </c>
      <c r="F88">
        <v>51</v>
      </c>
      <c r="G88">
        <v>44</v>
      </c>
      <c r="H88">
        <v>2</v>
      </c>
      <c r="I88">
        <v>0</v>
      </c>
      <c r="J88">
        <v>5</v>
      </c>
      <c r="K88">
        <v>0</v>
      </c>
      <c r="L88">
        <v>16</v>
      </c>
      <c r="M88">
        <v>11</v>
      </c>
      <c r="N88">
        <v>10</v>
      </c>
      <c r="O88">
        <v>21102.52</v>
      </c>
      <c r="P88">
        <v>16197.9</v>
      </c>
      <c r="Q88" s="15"/>
    </row>
    <row r="89" spans="1:17" x14ac:dyDescent="0.25">
      <c r="A89">
        <v>2017</v>
      </c>
      <c r="B89">
        <v>2020</v>
      </c>
      <c r="C89" t="s">
        <v>123</v>
      </c>
      <c r="D89">
        <v>42345</v>
      </c>
      <c r="E89">
        <v>42</v>
      </c>
      <c r="F89">
        <v>87</v>
      </c>
      <c r="G89">
        <v>57</v>
      </c>
      <c r="H89">
        <v>16</v>
      </c>
      <c r="I89">
        <v>2</v>
      </c>
      <c r="J89">
        <v>12</v>
      </c>
      <c r="K89">
        <v>5</v>
      </c>
      <c r="L89">
        <v>11</v>
      </c>
      <c r="M89">
        <v>10</v>
      </c>
      <c r="N89">
        <v>9</v>
      </c>
      <c r="O89">
        <v>13371.59</v>
      </c>
      <c r="P89">
        <v>11741.02</v>
      </c>
      <c r="Q89" s="15"/>
    </row>
    <row r="90" spans="1:17" x14ac:dyDescent="0.25">
      <c r="A90">
        <v>2017</v>
      </c>
      <c r="B90">
        <v>2020</v>
      </c>
      <c r="C90" t="s">
        <v>122</v>
      </c>
      <c r="D90">
        <v>41344</v>
      </c>
      <c r="E90">
        <v>41</v>
      </c>
      <c r="F90">
        <v>42</v>
      </c>
      <c r="G90">
        <v>37</v>
      </c>
      <c r="H90">
        <v>3</v>
      </c>
      <c r="I90">
        <v>0</v>
      </c>
      <c r="J90">
        <v>2</v>
      </c>
      <c r="K90">
        <v>0</v>
      </c>
      <c r="L90">
        <v>11</v>
      </c>
      <c r="M90">
        <v>7</v>
      </c>
      <c r="N90">
        <v>6</v>
      </c>
      <c r="O90">
        <v>15200.89</v>
      </c>
      <c r="P90">
        <v>13529.19</v>
      </c>
      <c r="Q90" s="15"/>
    </row>
    <row r="91" spans="1:17" x14ac:dyDescent="0.25">
      <c r="A91">
        <v>2017</v>
      </c>
      <c r="B91">
        <v>2020</v>
      </c>
      <c r="C91" t="s">
        <v>122</v>
      </c>
      <c r="D91">
        <v>42345</v>
      </c>
      <c r="E91">
        <v>42</v>
      </c>
      <c r="F91">
        <v>86</v>
      </c>
      <c r="G91">
        <v>58</v>
      </c>
      <c r="H91">
        <v>9</v>
      </c>
      <c r="I91">
        <v>0</v>
      </c>
      <c r="J91">
        <v>19</v>
      </c>
      <c r="K91">
        <v>3</v>
      </c>
      <c r="L91">
        <v>30</v>
      </c>
      <c r="M91">
        <v>21</v>
      </c>
      <c r="N91">
        <v>21</v>
      </c>
      <c r="O91">
        <v>20334.02</v>
      </c>
      <c r="P91">
        <v>19059.2</v>
      </c>
      <c r="Q91" s="15"/>
    </row>
    <row r="92" spans="1:17" x14ac:dyDescent="0.25">
      <c r="A92">
        <v>2017</v>
      </c>
      <c r="B92">
        <v>2020</v>
      </c>
      <c r="C92" t="s">
        <v>122</v>
      </c>
      <c r="D92">
        <v>42380</v>
      </c>
      <c r="E92">
        <v>42</v>
      </c>
      <c r="F92">
        <v>39</v>
      </c>
      <c r="G92">
        <v>33</v>
      </c>
      <c r="H92">
        <v>4</v>
      </c>
      <c r="I92">
        <v>0</v>
      </c>
      <c r="J92">
        <v>2</v>
      </c>
      <c r="K92">
        <v>0</v>
      </c>
      <c r="L92">
        <v>10</v>
      </c>
      <c r="M92">
        <v>6</v>
      </c>
      <c r="N92">
        <v>6</v>
      </c>
      <c r="O92">
        <v>16522</v>
      </c>
      <c r="P92">
        <v>16677.28</v>
      </c>
      <c r="Q92" s="15"/>
    </row>
    <row r="93" spans="1:17" x14ac:dyDescent="0.25">
      <c r="A93">
        <v>2017</v>
      </c>
      <c r="B93">
        <v>2020</v>
      </c>
      <c r="C93" t="s">
        <v>122</v>
      </c>
      <c r="D93">
        <v>42812</v>
      </c>
      <c r="E93">
        <v>42</v>
      </c>
      <c r="F93">
        <v>81</v>
      </c>
      <c r="G93">
        <v>48</v>
      </c>
      <c r="H93">
        <v>19</v>
      </c>
      <c r="I93">
        <v>0</v>
      </c>
      <c r="J93">
        <v>14</v>
      </c>
      <c r="K93">
        <v>2</v>
      </c>
      <c r="L93">
        <v>9</v>
      </c>
      <c r="M93">
        <v>7</v>
      </c>
      <c r="N93">
        <v>7</v>
      </c>
      <c r="O93">
        <v>14830.43</v>
      </c>
      <c r="P93">
        <v>13850.88</v>
      </c>
      <c r="Q93" s="15"/>
    </row>
    <row r="94" spans="1:17" x14ac:dyDescent="0.25">
      <c r="A94">
        <v>2017</v>
      </c>
      <c r="B94">
        <v>2020</v>
      </c>
      <c r="C94" t="s">
        <v>122</v>
      </c>
      <c r="D94">
        <v>47345</v>
      </c>
      <c r="E94">
        <v>47</v>
      </c>
      <c r="F94">
        <v>71</v>
      </c>
      <c r="G94">
        <v>49</v>
      </c>
      <c r="H94">
        <v>5</v>
      </c>
      <c r="I94">
        <v>2</v>
      </c>
      <c r="J94">
        <v>15</v>
      </c>
      <c r="K94">
        <v>4</v>
      </c>
      <c r="L94">
        <v>9</v>
      </c>
      <c r="M94">
        <v>8</v>
      </c>
      <c r="N94">
        <v>8</v>
      </c>
      <c r="O94">
        <v>26109.54</v>
      </c>
      <c r="P94">
        <v>23245.57</v>
      </c>
      <c r="Q94" s="15"/>
    </row>
    <row r="95" spans="1:17" x14ac:dyDescent="0.25">
      <c r="A95">
        <v>2017</v>
      </c>
      <c r="B95">
        <v>2020</v>
      </c>
      <c r="C95" t="s">
        <v>122</v>
      </c>
      <c r="D95">
        <v>47380</v>
      </c>
      <c r="E95">
        <v>47</v>
      </c>
      <c r="F95">
        <v>54</v>
      </c>
      <c r="G95">
        <v>46</v>
      </c>
      <c r="H95">
        <v>6</v>
      </c>
      <c r="I95">
        <v>1</v>
      </c>
      <c r="J95">
        <v>1</v>
      </c>
      <c r="K95">
        <v>0</v>
      </c>
      <c r="L95">
        <v>15</v>
      </c>
      <c r="M95">
        <v>9</v>
      </c>
      <c r="N95">
        <v>9</v>
      </c>
      <c r="O95">
        <v>18499.03</v>
      </c>
      <c r="P95">
        <v>16376.77</v>
      </c>
      <c r="Q95" s="15"/>
    </row>
    <row r="96" spans="1:17" x14ac:dyDescent="0.25">
      <c r="A96">
        <v>2017</v>
      </c>
      <c r="B96">
        <v>2020</v>
      </c>
      <c r="C96" t="s">
        <v>121</v>
      </c>
      <c r="D96">
        <v>42344</v>
      </c>
      <c r="E96">
        <v>42</v>
      </c>
      <c r="F96">
        <v>34</v>
      </c>
      <c r="G96">
        <v>33</v>
      </c>
      <c r="H96">
        <v>0</v>
      </c>
      <c r="I96">
        <v>0</v>
      </c>
      <c r="J96">
        <v>1</v>
      </c>
      <c r="K96">
        <v>0</v>
      </c>
      <c r="L96">
        <v>7</v>
      </c>
      <c r="M96">
        <v>6</v>
      </c>
      <c r="N96">
        <v>6</v>
      </c>
      <c r="O96">
        <v>16874.810000000001</v>
      </c>
      <c r="P96">
        <v>16461.63</v>
      </c>
      <c r="Q96" s="15"/>
    </row>
    <row r="97" spans="1:17" x14ac:dyDescent="0.25">
      <c r="A97">
        <v>2017</v>
      </c>
      <c r="B97">
        <v>2020</v>
      </c>
      <c r="C97" t="s">
        <v>120</v>
      </c>
      <c r="D97">
        <v>42840</v>
      </c>
      <c r="E97">
        <v>42</v>
      </c>
      <c r="F97">
        <v>103</v>
      </c>
      <c r="G97">
        <v>75</v>
      </c>
      <c r="H97">
        <v>17</v>
      </c>
      <c r="I97">
        <v>1</v>
      </c>
      <c r="J97">
        <v>10</v>
      </c>
      <c r="K97">
        <v>3</v>
      </c>
      <c r="L97">
        <v>17</v>
      </c>
      <c r="M97">
        <v>15</v>
      </c>
      <c r="N97">
        <v>15</v>
      </c>
      <c r="O97">
        <v>15327.17</v>
      </c>
      <c r="P97">
        <v>14768.35</v>
      </c>
      <c r="Q97" s="15"/>
    </row>
    <row r="98" spans="1:17" x14ac:dyDescent="0.25">
      <c r="A98">
        <v>2017</v>
      </c>
      <c r="B98">
        <v>2020</v>
      </c>
      <c r="C98" t="s">
        <v>119</v>
      </c>
      <c r="D98">
        <v>42213</v>
      </c>
      <c r="E98">
        <v>42</v>
      </c>
      <c r="F98">
        <v>58</v>
      </c>
      <c r="G98">
        <v>40</v>
      </c>
      <c r="H98">
        <v>8</v>
      </c>
      <c r="I98">
        <v>0</v>
      </c>
      <c r="J98">
        <v>10</v>
      </c>
      <c r="K98">
        <v>3</v>
      </c>
      <c r="L98">
        <v>12</v>
      </c>
      <c r="M98">
        <v>12</v>
      </c>
      <c r="N98">
        <v>11</v>
      </c>
      <c r="O98">
        <v>11030.23</v>
      </c>
      <c r="P98">
        <v>6674.38</v>
      </c>
      <c r="Q98" s="15"/>
    </row>
    <row r="99" spans="1:17" x14ac:dyDescent="0.25">
      <c r="A99">
        <v>2017</v>
      </c>
      <c r="B99">
        <v>2020</v>
      </c>
      <c r="C99" t="s">
        <v>119</v>
      </c>
      <c r="D99">
        <v>42342</v>
      </c>
      <c r="E99">
        <v>42</v>
      </c>
      <c r="F99">
        <v>56</v>
      </c>
      <c r="G99">
        <v>36</v>
      </c>
      <c r="H99">
        <v>14</v>
      </c>
      <c r="I99">
        <v>1</v>
      </c>
      <c r="J99">
        <v>5</v>
      </c>
      <c r="K99">
        <v>2</v>
      </c>
      <c r="L99">
        <v>12</v>
      </c>
      <c r="M99">
        <v>9</v>
      </c>
      <c r="N99">
        <v>8</v>
      </c>
      <c r="O99">
        <v>12874.4</v>
      </c>
      <c r="P99">
        <v>10963.75</v>
      </c>
      <c r="Q99" s="15"/>
    </row>
    <row r="100" spans="1:17" x14ac:dyDescent="0.25">
      <c r="A100">
        <v>2017</v>
      </c>
      <c r="B100">
        <v>2020</v>
      </c>
      <c r="C100" t="s">
        <v>119</v>
      </c>
      <c r="D100">
        <v>42345</v>
      </c>
      <c r="E100">
        <v>42</v>
      </c>
      <c r="F100">
        <v>126</v>
      </c>
      <c r="G100">
        <v>93</v>
      </c>
      <c r="H100">
        <v>17</v>
      </c>
      <c r="I100">
        <v>0</v>
      </c>
      <c r="J100">
        <v>16</v>
      </c>
      <c r="K100">
        <v>6</v>
      </c>
      <c r="L100">
        <v>40</v>
      </c>
      <c r="M100">
        <v>29</v>
      </c>
      <c r="N100">
        <v>28</v>
      </c>
      <c r="O100">
        <v>18850.060000000001</v>
      </c>
      <c r="P100">
        <v>14425.31</v>
      </c>
      <c r="Q100" s="15"/>
    </row>
    <row r="101" spans="1:17" x14ac:dyDescent="0.25">
      <c r="A101">
        <v>2017</v>
      </c>
      <c r="B101">
        <v>2020</v>
      </c>
      <c r="C101" t="s">
        <v>119</v>
      </c>
      <c r="D101">
        <v>43345</v>
      </c>
      <c r="E101">
        <v>43</v>
      </c>
      <c r="F101">
        <v>90</v>
      </c>
      <c r="G101">
        <v>57</v>
      </c>
      <c r="H101">
        <v>15</v>
      </c>
      <c r="I101">
        <v>1</v>
      </c>
      <c r="J101">
        <v>17</v>
      </c>
      <c r="K101">
        <v>9</v>
      </c>
      <c r="L101">
        <v>17</v>
      </c>
      <c r="M101">
        <v>13</v>
      </c>
      <c r="N101">
        <v>13</v>
      </c>
      <c r="O101">
        <v>19570.77</v>
      </c>
      <c r="P101">
        <v>14398.67</v>
      </c>
      <c r="Q101" s="15"/>
    </row>
    <row r="102" spans="1:17" x14ac:dyDescent="0.25">
      <c r="A102">
        <v>2017</v>
      </c>
      <c r="B102">
        <v>2020</v>
      </c>
      <c r="C102" t="s">
        <v>119</v>
      </c>
      <c r="D102">
        <v>47345</v>
      </c>
      <c r="E102">
        <v>47</v>
      </c>
      <c r="F102">
        <v>135</v>
      </c>
      <c r="G102">
        <v>101</v>
      </c>
      <c r="H102">
        <v>17</v>
      </c>
      <c r="I102">
        <v>0</v>
      </c>
      <c r="J102">
        <v>17</v>
      </c>
      <c r="K102">
        <v>7</v>
      </c>
      <c r="L102">
        <v>23</v>
      </c>
      <c r="M102">
        <v>17</v>
      </c>
      <c r="N102">
        <v>17</v>
      </c>
      <c r="O102">
        <v>28610.51</v>
      </c>
      <c r="P102">
        <v>21059.11</v>
      </c>
      <c r="Q102" s="15"/>
    </row>
    <row r="103" spans="1:17" x14ac:dyDescent="0.25">
      <c r="A103">
        <v>2017</v>
      </c>
      <c r="B103">
        <v>2020</v>
      </c>
      <c r="C103" t="s">
        <v>118</v>
      </c>
      <c r="D103">
        <v>43310</v>
      </c>
      <c r="E103">
        <v>43</v>
      </c>
      <c r="F103">
        <v>106</v>
      </c>
      <c r="G103">
        <v>40</v>
      </c>
      <c r="H103">
        <v>9</v>
      </c>
      <c r="I103">
        <v>0</v>
      </c>
      <c r="J103">
        <v>57</v>
      </c>
      <c r="K103">
        <v>1</v>
      </c>
      <c r="L103">
        <v>16</v>
      </c>
      <c r="M103">
        <v>14</v>
      </c>
      <c r="N103">
        <v>14</v>
      </c>
      <c r="O103">
        <v>26149.18</v>
      </c>
      <c r="P103">
        <v>26087.22</v>
      </c>
      <c r="Q103" s="15"/>
    </row>
    <row r="104" spans="1:17" x14ac:dyDescent="0.25">
      <c r="A104">
        <v>2017</v>
      </c>
      <c r="B104">
        <v>2020</v>
      </c>
      <c r="C104" t="s">
        <v>117</v>
      </c>
      <c r="D104">
        <v>41522</v>
      </c>
      <c r="E104">
        <v>41</v>
      </c>
      <c r="F104">
        <v>35</v>
      </c>
      <c r="G104">
        <v>31</v>
      </c>
      <c r="H104">
        <v>3</v>
      </c>
      <c r="I104">
        <v>0</v>
      </c>
      <c r="J104">
        <v>1</v>
      </c>
      <c r="K104">
        <v>0</v>
      </c>
      <c r="L104">
        <v>12</v>
      </c>
      <c r="M104">
        <v>7</v>
      </c>
      <c r="N104">
        <v>7</v>
      </c>
      <c r="O104">
        <v>21816.19</v>
      </c>
      <c r="P104">
        <v>22042.46</v>
      </c>
      <c r="Q104" s="15"/>
    </row>
    <row r="105" spans="1:17" x14ac:dyDescent="0.25">
      <c r="A105">
        <v>2017</v>
      </c>
      <c r="B105">
        <v>2020</v>
      </c>
      <c r="C105" t="s">
        <v>116</v>
      </c>
      <c r="D105">
        <v>41721</v>
      </c>
      <c r="E105">
        <v>41</v>
      </c>
      <c r="F105">
        <v>147</v>
      </c>
      <c r="G105">
        <v>144</v>
      </c>
      <c r="H105">
        <v>2</v>
      </c>
      <c r="I105">
        <v>0</v>
      </c>
      <c r="J105">
        <v>1</v>
      </c>
      <c r="K105">
        <v>2</v>
      </c>
      <c r="L105">
        <v>7</v>
      </c>
      <c r="M105">
        <v>5</v>
      </c>
      <c r="N105">
        <v>5</v>
      </c>
      <c r="O105">
        <v>29397.52</v>
      </c>
      <c r="P105">
        <v>29985.53</v>
      </c>
      <c r="Q105" s="15"/>
    </row>
    <row r="106" spans="1:17" x14ac:dyDescent="0.25">
      <c r="A106">
        <v>2017</v>
      </c>
      <c r="B106">
        <v>2020</v>
      </c>
      <c r="C106" t="s">
        <v>116</v>
      </c>
      <c r="D106">
        <v>41723</v>
      </c>
      <c r="E106">
        <v>41</v>
      </c>
      <c r="F106">
        <v>125</v>
      </c>
      <c r="G106">
        <v>115</v>
      </c>
      <c r="H106">
        <v>8</v>
      </c>
      <c r="I106">
        <v>1</v>
      </c>
      <c r="J106">
        <v>1</v>
      </c>
      <c r="K106">
        <v>0</v>
      </c>
      <c r="L106">
        <v>7</v>
      </c>
      <c r="M106">
        <v>6</v>
      </c>
      <c r="N106">
        <v>6</v>
      </c>
      <c r="O106">
        <v>19068.27</v>
      </c>
      <c r="P106">
        <v>17713.48</v>
      </c>
      <c r="Q106" s="15"/>
    </row>
    <row r="107" spans="1:17" x14ac:dyDescent="0.25">
      <c r="A107">
        <v>2017</v>
      </c>
      <c r="B107">
        <v>2020</v>
      </c>
      <c r="C107" t="s">
        <v>115</v>
      </c>
      <c r="D107">
        <v>41721</v>
      </c>
      <c r="E107">
        <v>41</v>
      </c>
      <c r="F107">
        <v>47</v>
      </c>
      <c r="G107">
        <v>43</v>
      </c>
      <c r="H107">
        <v>2</v>
      </c>
      <c r="I107">
        <v>1</v>
      </c>
      <c r="J107">
        <v>1</v>
      </c>
      <c r="K107">
        <v>0</v>
      </c>
      <c r="L107">
        <v>2</v>
      </c>
      <c r="M107">
        <v>2</v>
      </c>
      <c r="N107">
        <v>2</v>
      </c>
      <c r="O107">
        <v>19559.18</v>
      </c>
      <c r="P107">
        <v>18701.580000000002</v>
      </c>
      <c r="Q107" s="15"/>
    </row>
    <row r="108" spans="1:17" x14ac:dyDescent="0.25">
      <c r="A108">
        <v>2017</v>
      </c>
      <c r="B108">
        <v>2020</v>
      </c>
      <c r="C108" t="s">
        <v>115</v>
      </c>
      <c r="D108">
        <v>41725</v>
      </c>
      <c r="E108">
        <v>41</v>
      </c>
      <c r="F108">
        <v>50</v>
      </c>
      <c r="G108">
        <v>45</v>
      </c>
      <c r="H108">
        <v>4</v>
      </c>
      <c r="I108">
        <v>0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16335.18</v>
      </c>
      <c r="P108">
        <v>16143.62</v>
      </c>
      <c r="Q108" s="15"/>
    </row>
    <row r="109" spans="1:17" x14ac:dyDescent="0.25">
      <c r="A109">
        <v>2017</v>
      </c>
      <c r="B109">
        <v>2020</v>
      </c>
      <c r="C109" t="s">
        <v>114</v>
      </c>
      <c r="D109">
        <v>41345</v>
      </c>
      <c r="E109">
        <v>41</v>
      </c>
      <c r="F109">
        <v>70</v>
      </c>
      <c r="G109">
        <v>54</v>
      </c>
      <c r="H109">
        <v>15</v>
      </c>
      <c r="I109">
        <v>1</v>
      </c>
      <c r="J109">
        <v>0</v>
      </c>
      <c r="K109">
        <v>0</v>
      </c>
      <c r="L109">
        <v>6</v>
      </c>
      <c r="M109">
        <v>6</v>
      </c>
      <c r="N109">
        <v>6</v>
      </c>
      <c r="O109">
        <v>9419.98</v>
      </c>
      <c r="P109">
        <v>9321.4599999999991</v>
      </c>
      <c r="Q109" s="15"/>
    </row>
    <row r="110" spans="1:17" x14ac:dyDescent="0.25">
      <c r="A110">
        <v>2017</v>
      </c>
      <c r="B110">
        <v>2020</v>
      </c>
      <c r="C110" t="s">
        <v>104</v>
      </c>
      <c r="D110">
        <v>41861</v>
      </c>
      <c r="E110">
        <v>41</v>
      </c>
      <c r="F110">
        <v>96</v>
      </c>
      <c r="G110">
        <v>85</v>
      </c>
      <c r="H110">
        <v>10</v>
      </c>
      <c r="I110">
        <v>0</v>
      </c>
      <c r="J110">
        <v>1</v>
      </c>
      <c r="K110">
        <v>0</v>
      </c>
      <c r="L110">
        <v>2</v>
      </c>
      <c r="M110">
        <v>1</v>
      </c>
      <c r="N110">
        <v>1</v>
      </c>
      <c r="O110">
        <v>17755.560000000001</v>
      </c>
      <c r="P110">
        <v>17160.099999999999</v>
      </c>
      <c r="Q110" s="15"/>
    </row>
    <row r="111" spans="1:17" x14ac:dyDescent="0.25">
      <c r="A111">
        <v>2017</v>
      </c>
      <c r="B111">
        <v>2020</v>
      </c>
      <c r="C111" t="s">
        <v>103</v>
      </c>
      <c r="D111">
        <v>41723</v>
      </c>
      <c r="E111">
        <v>41</v>
      </c>
      <c r="F111">
        <v>59</v>
      </c>
      <c r="G111">
        <v>50</v>
      </c>
      <c r="H111">
        <v>5</v>
      </c>
      <c r="I111">
        <v>0</v>
      </c>
      <c r="J111">
        <v>4</v>
      </c>
      <c r="K111">
        <v>1</v>
      </c>
      <c r="L111">
        <v>2</v>
      </c>
      <c r="M111">
        <v>2</v>
      </c>
      <c r="N111">
        <v>2</v>
      </c>
      <c r="O111">
        <v>16093.91</v>
      </c>
      <c r="P111">
        <v>15625.92</v>
      </c>
      <c r="Q111" s="15"/>
    </row>
    <row r="112" spans="1:17" x14ac:dyDescent="0.25">
      <c r="A112">
        <v>2017</v>
      </c>
      <c r="B112">
        <v>2020</v>
      </c>
      <c r="C112" t="s">
        <v>112</v>
      </c>
      <c r="D112">
        <v>41345</v>
      </c>
      <c r="E112">
        <v>41</v>
      </c>
      <c r="F112">
        <v>72</v>
      </c>
      <c r="G112">
        <v>58</v>
      </c>
      <c r="H112">
        <v>12</v>
      </c>
      <c r="I112">
        <v>0</v>
      </c>
      <c r="J112">
        <v>2</v>
      </c>
      <c r="K112">
        <v>0</v>
      </c>
      <c r="L112">
        <v>20</v>
      </c>
      <c r="M112">
        <v>15</v>
      </c>
      <c r="N112">
        <v>13</v>
      </c>
      <c r="O112">
        <v>16952.150000000001</v>
      </c>
      <c r="P112">
        <v>13607.75</v>
      </c>
      <c r="Q112" s="15"/>
    </row>
    <row r="113" spans="1:17" x14ac:dyDescent="0.25">
      <c r="A113">
        <v>2017</v>
      </c>
      <c r="B113">
        <v>2020</v>
      </c>
      <c r="C113" t="s">
        <v>112</v>
      </c>
      <c r="D113">
        <v>41380</v>
      </c>
      <c r="E113">
        <v>41</v>
      </c>
      <c r="F113">
        <v>102</v>
      </c>
      <c r="G113">
        <v>89</v>
      </c>
      <c r="H113">
        <v>11</v>
      </c>
      <c r="I113">
        <v>1</v>
      </c>
      <c r="J113">
        <v>1</v>
      </c>
      <c r="K113">
        <v>0</v>
      </c>
      <c r="L113">
        <v>16</v>
      </c>
      <c r="M113">
        <v>11</v>
      </c>
      <c r="N113">
        <v>10</v>
      </c>
      <c r="O113">
        <v>16797.21</v>
      </c>
      <c r="P113">
        <v>14930.37</v>
      </c>
      <c r="Q113" s="15"/>
    </row>
    <row r="114" spans="1:17" x14ac:dyDescent="0.25">
      <c r="A114">
        <v>2017</v>
      </c>
      <c r="B114">
        <v>2020</v>
      </c>
      <c r="C114" t="s">
        <v>111</v>
      </c>
      <c r="D114">
        <v>41345</v>
      </c>
      <c r="E114">
        <v>41</v>
      </c>
      <c r="F114">
        <v>66</v>
      </c>
      <c r="G114">
        <v>52</v>
      </c>
      <c r="H114">
        <v>6</v>
      </c>
      <c r="I114">
        <v>0</v>
      </c>
      <c r="J114">
        <v>8</v>
      </c>
      <c r="K114">
        <v>1</v>
      </c>
      <c r="L114">
        <v>10</v>
      </c>
      <c r="M114">
        <v>6</v>
      </c>
      <c r="N114">
        <v>6</v>
      </c>
      <c r="O114">
        <v>12151.66</v>
      </c>
      <c r="P114">
        <v>11371.33</v>
      </c>
      <c r="Q114" s="15"/>
    </row>
    <row r="115" spans="1:17" x14ac:dyDescent="0.25">
      <c r="A115">
        <v>2017</v>
      </c>
      <c r="B115">
        <v>2020</v>
      </c>
      <c r="C115" t="s">
        <v>144</v>
      </c>
      <c r="D115">
        <v>41344</v>
      </c>
      <c r="E115">
        <v>41</v>
      </c>
      <c r="F115">
        <v>54</v>
      </c>
      <c r="G115">
        <v>49</v>
      </c>
      <c r="H115">
        <v>3</v>
      </c>
      <c r="I115">
        <v>0</v>
      </c>
      <c r="J115">
        <v>2</v>
      </c>
      <c r="K115">
        <v>0</v>
      </c>
      <c r="L115">
        <v>9</v>
      </c>
      <c r="M115">
        <v>8</v>
      </c>
      <c r="N115">
        <v>7</v>
      </c>
      <c r="O115">
        <v>14374.98</v>
      </c>
      <c r="P115">
        <v>12437.36</v>
      </c>
      <c r="Q115" s="15"/>
    </row>
    <row r="116" spans="1:17" x14ac:dyDescent="0.25">
      <c r="A116">
        <v>2017</v>
      </c>
      <c r="B116">
        <v>2020</v>
      </c>
      <c r="C116" t="s">
        <v>110</v>
      </c>
      <c r="D116">
        <v>41345</v>
      </c>
      <c r="E116">
        <v>41</v>
      </c>
      <c r="F116">
        <v>54</v>
      </c>
      <c r="G116">
        <v>41</v>
      </c>
      <c r="H116">
        <v>8</v>
      </c>
      <c r="I116">
        <v>1</v>
      </c>
      <c r="J116">
        <v>4</v>
      </c>
      <c r="K116">
        <v>0</v>
      </c>
      <c r="L116">
        <v>4</v>
      </c>
      <c r="M116">
        <v>3</v>
      </c>
      <c r="N116">
        <v>3</v>
      </c>
      <c r="O116">
        <v>15872.1</v>
      </c>
      <c r="P116">
        <v>12588.28</v>
      </c>
      <c r="Q116" s="15"/>
    </row>
    <row r="117" spans="1:17" x14ac:dyDescent="0.25">
      <c r="A117">
        <v>2017</v>
      </c>
      <c r="B117">
        <v>2020</v>
      </c>
      <c r="C117" t="s">
        <v>109</v>
      </c>
      <c r="D117">
        <v>41722</v>
      </c>
      <c r="E117">
        <v>41</v>
      </c>
      <c r="F117">
        <v>41</v>
      </c>
      <c r="G117">
        <v>33</v>
      </c>
      <c r="H117">
        <v>5</v>
      </c>
      <c r="I117">
        <v>0</v>
      </c>
      <c r="J117">
        <v>3</v>
      </c>
      <c r="K117">
        <v>0</v>
      </c>
      <c r="L117">
        <v>3</v>
      </c>
      <c r="M117">
        <v>2</v>
      </c>
      <c r="N117">
        <v>2</v>
      </c>
      <c r="O117">
        <v>7859.68</v>
      </c>
      <c r="P117">
        <v>7028.58</v>
      </c>
      <c r="Q117" s="15"/>
    </row>
    <row r="118" spans="1:17" x14ac:dyDescent="0.25">
      <c r="A118">
        <v>2018</v>
      </c>
      <c r="B118">
        <v>2020</v>
      </c>
      <c r="C118" t="s">
        <v>139</v>
      </c>
      <c r="D118">
        <v>42141</v>
      </c>
      <c r="E118">
        <v>42</v>
      </c>
      <c r="F118">
        <v>79</v>
      </c>
      <c r="G118">
        <v>69</v>
      </c>
      <c r="H118">
        <v>8</v>
      </c>
      <c r="I118">
        <v>1</v>
      </c>
      <c r="J118">
        <v>1</v>
      </c>
      <c r="K118">
        <v>0</v>
      </c>
      <c r="L118">
        <v>2</v>
      </c>
      <c r="M118">
        <v>2</v>
      </c>
      <c r="N118">
        <v>2</v>
      </c>
      <c r="O118">
        <v>10227.01</v>
      </c>
      <c r="P118">
        <v>10009.709999999999</v>
      </c>
      <c r="Q118" s="15"/>
    </row>
    <row r="119" spans="1:17" x14ac:dyDescent="0.25">
      <c r="A119">
        <v>2018</v>
      </c>
      <c r="B119">
        <v>2020</v>
      </c>
      <c r="C119" t="s">
        <v>138</v>
      </c>
      <c r="D119">
        <v>42541</v>
      </c>
      <c r="E119">
        <v>42</v>
      </c>
      <c r="F119">
        <v>40</v>
      </c>
      <c r="G119">
        <v>33</v>
      </c>
      <c r="H119">
        <v>7</v>
      </c>
      <c r="I119">
        <v>0</v>
      </c>
      <c r="J119">
        <v>0</v>
      </c>
      <c r="K119">
        <v>0</v>
      </c>
      <c r="L119">
        <v>2</v>
      </c>
      <c r="M119">
        <v>2</v>
      </c>
      <c r="N119">
        <v>1</v>
      </c>
      <c r="O119">
        <v>13192.15</v>
      </c>
      <c r="P119">
        <v>12849.01</v>
      </c>
      <c r="Q119" s="15"/>
    </row>
    <row r="120" spans="1:17" x14ac:dyDescent="0.25">
      <c r="A120">
        <v>2018</v>
      </c>
      <c r="B120">
        <v>2020</v>
      </c>
      <c r="C120" t="s">
        <v>138</v>
      </c>
      <c r="D120">
        <v>42581</v>
      </c>
      <c r="E120">
        <v>42</v>
      </c>
      <c r="F120">
        <v>43</v>
      </c>
      <c r="G120">
        <v>35</v>
      </c>
      <c r="H120">
        <v>8</v>
      </c>
      <c r="I120">
        <v>0</v>
      </c>
      <c r="J120">
        <v>0</v>
      </c>
      <c r="K120">
        <v>0</v>
      </c>
      <c r="L120">
        <v>3</v>
      </c>
      <c r="M120">
        <v>2</v>
      </c>
      <c r="N120">
        <v>2</v>
      </c>
      <c r="O120">
        <v>11594.05</v>
      </c>
      <c r="P120">
        <v>11758.42</v>
      </c>
      <c r="Q120" s="15"/>
    </row>
    <row r="121" spans="1:17" x14ac:dyDescent="0.25">
      <c r="A121">
        <v>2018</v>
      </c>
      <c r="B121">
        <v>2020</v>
      </c>
      <c r="C121" t="s">
        <v>138</v>
      </c>
      <c r="D121">
        <v>42621</v>
      </c>
      <c r="E121">
        <v>42</v>
      </c>
      <c r="F121">
        <v>68</v>
      </c>
      <c r="G121">
        <v>61</v>
      </c>
      <c r="H121">
        <v>6</v>
      </c>
      <c r="I121">
        <v>0</v>
      </c>
      <c r="J121">
        <v>1</v>
      </c>
      <c r="K121">
        <v>1</v>
      </c>
      <c r="L121">
        <v>24</v>
      </c>
      <c r="M121">
        <v>23</v>
      </c>
      <c r="N121">
        <v>10</v>
      </c>
      <c r="O121">
        <v>18134.09</v>
      </c>
      <c r="P121">
        <v>12559.46</v>
      </c>
      <c r="Q121" s="15"/>
    </row>
    <row r="122" spans="1:17" x14ac:dyDescent="0.25">
      <c r="A122">
        <v>2018</v>
      </c>
      <c r="B122">
        <v>2020</v>
      </c>
      <c r="C122" t="s">
        <v>138</v>
      </c>
      <c r="D122">
        <v>42623</v>
      </c>
      <c r="E122">
        <v>42</v>
      </c>
      <c r="F122">
        <v>132</v>
      </c>
      <c r="G122">
        <v>125</v>
      </c>
      <c r="H122">
        <v>5</v>
      </c>
      <c r="I122">
        <v>1</v>
      </c>
      <c r="J122">
        <v>1</v>
      </c>
      <c r="K122">
        <v>0</v>
      </c>
      <c r="L122">
        <v>20</v>
      </c>
      <c r="M122">
        <v>15</v>
      </c>
      <c r="N122">
        <v>10</v>
      </c>
      <c r="O122">
        <v>26073.96</v>
      </c>
      <c r="P122">
        <v>24720.43</v>
      </c>
      <c r="Q122" s="15"/>
    </row>
    <row r="123" spans="1:17" x14ac:dyDescent="0.25">
      <c r="A123">
        <v>2018</v>
      </c>
      <c r="B123">
        <v>2020</v>
      </c>
      <c r="C123" t="s">
        <v>138</v>
      </c>
      <c r="D123">
        <v>42640</v>
      </c>
      <c r="E123">
        <v>42</v>
      </c>
      <c r="F123">
        <v>38</v>
      </c>
      <c r="G123">
        <v>38</v>
      </c>
      <c r="H123">
        <v>0</v>
      </c>
      <c r="I123">
        <v>0</v>
      </c>
      <c r="J123">
        <v>0</v>
      </c>
      <c r="K123">
        <v>0</v>
      </c>
      <c r="L123">
        <v>7</v>
      </c>
      <c r="M123">
        <v>7</v>
      </c>
      <c r="N123">
        <v>3</v>
      </c>
      <c r="O123">
        <v>17582.34</v>
      </c>
      <c r="P123">
        <v>13626.49</v>
      </c>
      <c r="Q123" s="15"/>
    </row>
    <row r="124" spans="1:17" x14ac:dyDescent="0.25">
      <c r="A124">
        <v>2018</v>
      </c>
      <c r="B124">
        <v>2020</v>
      </c>
      <c r="C124" t="s">
        <v>138</v>
      </c>
      <c r="D124">
        <v>43310</v>
      </c>
      <c r="E124">
        <v>43</v>
      </c>
      <c r="F124">
        <v>70</v>
      </c>
      <c r="G124">
        <v>60</v>
      </c>
      <c r="H124">
        <v>7</v>
      </c>
      <c r="I124">
        <v>1</v>
      </c>
      <c r="J124">
        <v>2</v>
      </c>
      <c r="K124">
        <v>0</v>
      </c>
      <c r="L124">
        <v>7</v>
      </c>
      <c r="M124">
        <v>6</v>
      </c>
      <c r="N124">
        <v>4</v>
      </c>
      <c r="O124">
        <v>13365.35</v>
      </c>
      <c r="P124">
        <v>12702.93</v>
      </c>
      <c r="Q124" s="15"/>
    </row>
    <row r="125" spans="1:17" x14ac:dyDescent="0.25">
      <c r="A125">
        <v>2018</v>
      </c>
      <c r="B125">
        <v>2020</v>
      </c>
      <c r="C125" t="s">
        <v>138</v>
      </c>
      <c r="D125">
        <v>43525</v>
      </c>
      <c r="E125">
        <v>43</v>
      </c>
      <c r="F125">
        <v>38</v>
      </c>
      <c r="G125">
        <v>32</v>
      </c>
      <c r="H125">
        <v>6</v>
      </c>
      <c r="I125">
        <v>0</v>
      </c>
      <c r="J125">
        <v>0</v>
      </c>
      <c r="K125">
        <v>0</v>
      </c>
      <c r="L125">
        <v>8</v>
      </c>
      <c r="M125">
        <v>8</v>
      </c>
      <c r="N125">
        <v>1</v>
      </c>
      <c r="O125">
        <v>19102.66</v>
      </c>
      <c r="P125">
        <v>17801.93</v>
      </c>
      <c r="Q125" s="15"/>
    </row>
    <row r="126" spans="1:17" x14ac:dyDescent="0.25">
      <c r="A126">
        <v>2018</v>
      </c>
      <c r="B126">
        <v>2020</v>
      </c>
      <c r="C126" t="s">
        <v>138</v>
      </c>
      <c r="D126">
        <v>45310</v>
      </c>
      <c r="E126">
        <v>45</v>
      </c>
      <c r="F126">
        <v>39</v>
      </c>
      <c r="G126">
        <v>32</v>
      </c>
      <c r="H126">
        <v>7</v>
      </c>
      <c r="I126">
        <v>0</v>
      </c>
      <c r="J126">
        <v>0</v>
      </c>
      <c r="K126">
        <v>0</v>
      </c>
      <c r="L126">
        <v>7</v>
      </c>
      <c r="M126">
        <v>5</v>
      </c>
      <c r="N126">
        <v>5</v>
      </c>
      <c r="O126">
        <v>17129.3</v>
      </c>
      <c r="P126">
        <v>14417.67</v>
      </c>
      <c r="Q126" s="15"/>
    </row>
    <row r="127" spans="1:17" x14ac:dyDescent="0.25">
      <c r="A127">
        <v>2018</v>
      </c>
      <c r="B127">
        <v>2020</v>
      </c>
      <c r="C127" t="s">
        <v>137</v>
      </c>
      <c r="D127">
        <v>41722</v>
      </c>
      <c r="E127">
        <v>41</v>
      </c>
      <c r="F127">
        <v>137</v>
      </c>
      <c r="G127">
        <v>114</v>
      </c>
      <c r="H127">
        <v>18</v>
      </c>
      <c r="I127">
        <v>0</v>
      </c>
      <c r="J127">
        <v>5</v>
      </c>
      <c r="K127">
        <v>0</v>
      </c>
      <c r="L127">
        <v>8</v>
      </c>
      <c r="M127">
        <v>8</v>
      </c>
      <c r="N127">
        <v>6</v>
      </c>
      <c r="O127">
        <v>13830.17</v>
      </c>
      <c r="P127">
        <v>11975.94</v>
      </c>
      <c r="Q127" s="15"/>
    </row>
    <row r="128" spans="1:17" x14ac:dyDescent="0.25">
      <c r="A128">
        <v>2018</v>
      </c>
      <c r="B128">
        <v>2020</v>
      </c>
      <c r="C128" t="s">
        <v>137</v>
      </c>
      <c r="D128">
        <v>41723</v>
      </c>
      <c r="E128">
        <v>41</v>
      </c>
      <c r="F128">
        <v>65</v>
      </c>
      <c r="G128">
        <v>57</v>
      </c>
      <c r="H128">
        <v>5</v>
      </c>
      <c r="I128">
        <v>2</v>
      </c>
      <c r="J128">
        <v>1</v>
      </c>
      <c r="K128">
        <v>1</v>
      </c>
      <c r="L128">
        <v>3</v>
      </c>
      <c r="M128">
        <v>3</v>
      </c>
      <c r="N128">
        <v>3</v>
      </c>
      <c r="O128">
        <v>16335.18</v>
      </c>
      <c r="P128">
        <v>15373.78</v>
      </c>
      <c r="Q128" s="15"/>
    </row>
    <row r="129" spans="1:17" x14ac:dyDescent="0.25">
      <c r="A129">
        <v>2018</v>
      </c>
      <c r="B129">
        <v>2020</v>
      </c>
      <c r="C129" t="s">
        <v>137</v>
      </c>
      <c r="D129">
        <v>41762</v>
      </c>
      <c r="E129">
        <v>41</v>
      </c>
      <c r="F129">
        <v>120</v>
      </c>
      <c r="G129">
        <v>108</v>
      </c>
      <c r="H129">
        <v>11</v>
      </c>
      <c r="I129">
        <v>0</v>
      </c>
      <c r="J129">
        <v>1</v>
      </c>
      <c r="K129">
        <v>0</v>
      </c>
      <c r="L129">
        <v>7</v>
      </c>
      <c r="M129">
        <v>4</v>
      </c>
      <c r="N129">
        <v>2</v>
      </c>
      <c r="O129">
        <v>11673.85</v>
      </c>
      <c r="P129">
        <v>10473.129999999999</v>
      </c>
      <c r="Q129" s="15"/>
    </row>
    <row r="130" spans="1:17" x14ac:dyDescent="0.25">
      <c r="A130">
        <v>2018</v>
      </c>
      <c r="B130">
        <v>2020</v>
      </c>
      <c r="C130" t="s">
        <v>136</v>
      </c>
      <c r="D130">
        <v>42141</v>
      </c>
      <c r="E130">
        <v>42</v>
      </c>
      <c r="F130">
        <v>52</v>
      </c>
      <c r="G130">
        <v>44</v>
      </c>
      <c r="H130">
        <v>6</v>
      </c>
      <c r="I130">
        <v>2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12436.63</v>
      </c>
      <c r="P130">
        <v>10658.67</v>
      </c>
      <c r="Q130" s="15"/>
    </row>
    <row r="131" spans="1:17" x14ac:dyDescent="0.25">
      <c r="A131">
        <v>2018</v>
      </c>
      <c r="B131">
        <v>2020</v>
      </c>
      <c r="C131" t="s">
        <v>136</v>
      </c>
      <c r="D131">
        <v>47141</v>
      </c>
      <c r="E131">
        <v>47</v>
      </c>
      <c r="F131">
        <v>36</v>
      </c>
      <c r="G131">
        <v>31</v>
      </c>
      <c r="H131">
        <v>3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17090.04</v>
      </c>
      <c r="P131">
        <v>15891.69</v>
      </c>
      <c r="Q131" s="15"/>
    </row>
    <row r="132" spans="1:17" x14ac:dyDescent="0.25">
      <c r="A132">
        <v>2018</v>
      </c>
      <c r="B132">
        <v>2020</v>
      </c>
      <c r="C132" t="s">
        <v>135</v>
      </c>
      <c r="D132">
        <v>41525</v>
      </c>
      <c r="E132">
        <v>41</v>
      </c>
      <c r="F132">
        <v>71</v>
      </c>
      <c r="G132">
        <v>61</v>
      </c>
      <c r="H132">
        <v>3</v>
      </c>
      <c r="I132">
        <v>0</v>
      </c>
      <c r="J132">
        <v>7</v>
      </c>
      <c r="K132">
        <v>1</v>
      </c>
      <c r="L132">
        <v>2</v>
      </c>
      <c r="M132">
        <v>2</v>
      </c>
      <c r="N132">
        <v>2</v>
      </c>
      <c r="O132">
        <v>6316.17</v>
      </c>
      <c r="P132">
        <v>6104.62</v>
      </c>
      <c r="Q132" s="15"/>
    </row>
    <row r="133" spans="1:17" x14ac:dyDescent="0.25">
      <c r="A133">
        <v>2018</v>
      </c>
      <c r="B133">
        <v>2020</v>
      </c>
      <c r="C133" t="s">
        <v>135</v>
      </c>
      <c r="D133">
        <v>41840</v>
      </c>
      <c r="E133">
        <v>41</v>
      </c>
      <c r="F133">
        <v>64</v>
      </c>
      <c r="G133">
        <v>52</v>
      </c>
      <c r="H133">
        <v>6</v>
      </c>
      <c r="I133">
        <v>0</v>
      </c>
      <c r="J133">
        <v>6</v>
      </c>
      <c r="K133">
        <v>1</v>
      </c>
      <c r="L133">
        <v>2</v>
      </c>
      <c r="M133">
        <v>2</v>
      </c>
      <c r="N133">
        <v>2</v>
      </c>
      <c r="O133">
        <v>7094.74</v>
      </c>
      <c r="P133">
        <v>6193.39</v>
      </c>
      <c r="Q133" s="15"/>
    </row>
    <row r="134" spans="1:17" x14ac:dyDescent="0.25">
      <c r="A134">
        <v>2018</v>
      </c>
      <c r="B134">
        <v>2020</v>
      </c>
      <c r="C134" t="s">
        <v>143</v>
      </c>
      <c r="D134">
        <v>42141</v>
      </c>
      <c r="E134">
        <v>42</v>
      </c>
      <c r="F134">
        <v>42</v>
      </c>
      <c r="G134">
        <v>36</v>
      </c>
      <c r="H134">
        <v>5</v>
      </c>
      <c r="I134">
        <v>0</v>
      </c>
      <c r="J134">
        <v>1</v>
      </c>
      <c r="K134">
        <v>0</v>
      </c>
      <c r="L134">
        <v>3</v>
      </c>
      <c r="M134">
        <v>3</v>
      </c>
      <c r="N134">
        <v>1</v>
      </c>
      <c r="O134">
        <v>11060.11</v>
      </c>
      <c r="P134">
        <v>10058.4</v>
      </c>
      <c r="Q134" s="15"/>
    </row>
    <row r="135" spans="1:17" x14ac:dyDescent="0.25">
      <c r="A135">
        <v>2018</v>
      </c>
      <c r="B135">
        <v>2020</v>
      </c>
      <c r="C135" t="s">
        <v>142</v>
      </c>
      <c r="D135">
        <v>41861</v>
      </c>
      <c r="E135">
        <v>41</v>
      </c>
      <c r="F135">
        <v>37</v>
      </c>
      <c r="G135">
        <v>36</v>
      </c>
      <c r="H135">
        <v>1</v>
      </c>
      <c r="I135">
        <v>0</v>
      </c>
      <c r="J135">
        <v>0</v>
      </c>
      <c r="K135">
        <v>0</v>
      </c>
      <c r="L135">
        <v>2</v>
      </c>
      <c r="M135">
        <v>2</v>
      </c>
      <c r="N135">
        <v>0</v>
      </c>
      <c r="O135">
        <v>17496.740000000002</v>
      </c>
      <c r="P135">
        <v>16873.96</v>
      </c>
      <c r="Q135" s="15"/>
    </row>
    <row r="136" spans="1:17" x14ac:dyDescent="0.25">
      <c r="A136">
        <v>2018</v>
      </c>
      <c r="B136">
        <v>2020</v>
      </c>
      <c r="C136" t="s">
        <v>141</v>
      </c>
      <c r="D136">
        <v>42345</v>
      </c>
      <c r="E136">
        <v>42</v>
      </c>
      <c r="F136">
        <v>36</v>
      </c>
      <c r="G136">
        <v>35</v>
      </c>
      <c r="H136">
        <v>1</v>
      </c>
      <c r="I136">
        <v>0</v>
      </c>
      <c r="J136">
        <v>0</v>
      </c>
      <c r="K136">
        <v>0</v>
      </c>
      <c r="L136">
        <v>2</v>
      </c>
      <c r="M136">
        <v>2</v>
      </c>
      <c r="N136">
        <v>1</v>
      </c>
      <c r="O136">
        <v>15943.74</v>
      </c>
      <c r="P136">
        <v>15863.97</v>
      </c>
      <c r="Q136" s="15"/>
    </row>
    <row r="137" spans="1:17" x14ac:dyDescent="0.25">
      <c r="A137">
        <v>2018</v>
      </c>
      <c r="B137">
        <v>2020</v>
      </c>
      <c r="C137" t="s">
        <v>134</v>
      </c>
      <c r="D137">
        <v>41141</v>
      </c>
      <c r="E137">
        <v>41</v>
      </c>
      <c r="F137">
        <v>516</v>
      </c>
      <c r="G137">
        <v>481</v>
      </c>
      <c r="H137">
        <v>28</v>
      </c>
      <c r="I137">
        <v>0</v>
      </c>
      <c r="J137">
        <v>7</v>
      </c>
      <c r="K137">
        <v>3</v>
      </c>
      <c r="L137">
        <v>16</v>
      </c>
      <c r="M137">
        <v>13</v>
      </c>
      <c r="N137">
        <v>10</v>
      </c>
      <c r="O137">
        <v>11151.66</v>
      </c>
      <c r="P137">
        <v>10683.58</v>
      </c>
      <c r="Q137" s="15"/>
    </row>
    <row r="138" spans="1:17" x14ac:dyDescent="0.25">
      <c r="A138">
        <v>2018</v>
      </c>
      <c r="B138">
        <v>2020</v>
      </c>
      <c r="C138" t="s">
        <v>134</v>
      </c>
      <c r="D138">
        <v>41345</v>
      </c>
      <c r="E138">
        <v>41</v>
      </c>
      <c r="F138">
        <v>45</v>
      </c>
      <c r="G138">
        <v>38</v>
      </c>
      <c r="H138">
        <v>5</v>
      </c>
      <c r="I138">
        <v>1</v>
      </c>
      <c r="J138">
        <v>1</v>
      </c>
      <c r="K138">
        <v>0</v>
      </c>
      <c r="L138">
        <v>5</v>
      </c>
      <c r="M138">
        <v>5</v>
      </c>
      <c r="N138">
        <v>5</v>
      </c>
      <c r="O138">
        <v>13608.66</v>
      </c>
      <c r="P138">
        <v>11772.44</v>
      </c>
      <c r="Q138" s="15"/>
    </row>
    <row r="139" spans="1:17" x14ac:dyDescent="0.25">
      <c r="A139">
        <v>2018</v>
      </c>
      <c r="B139">
        <v>2020</v>
      </c>
      <c r="C139" t="s">
        <v>134</v>
      </c>
      <c r="D139">
        <v>41481</v>
      </c>
      <c r="E139">
        <v>41</v>
      </c>
      <c r="F139">
        <v>103</v>
      </c>
      <c r="G139">
        <v>93</v>
      </c>
      <c r="H139">
        <v>9</v>
      </c>
      <c r="I139">
        <v>1</v>
      </c>
      <c r="J139">
        <v>0</v>
      </c>
      <c r="K139">
        <v>1</v>
      </c>
      <c r="L139">
        <v>11</v>
      </c>
      <c r="M139">
        <v>7</v>
      </c>
      <c r="N139">
        <v>7</v>
      </c>
      <c r="O139">
        <v>17815.36</v>
      </c>
      <c r="P139">
        <v>16678.36</v>
      </c>
      <c r="Q139" s="15"/>
    </row>
    <row r="140" spans="1:17" x14ac:dyDescent="0.25">
      <c r="A140">
        <v>2018</v>
      </c>
      <c r="B140">
        <v>2020</v>
      </c>
      <c r="C140" t="s">
        <v>134</v>
      </c>
      <c r="D140">
        <v>42141</v>
      </c>
      <c r="E140">
        <v>42</v>
      </c>
      <c r="F140">
        <v>462</v>
      </c>
      <c r="G140">
        <v>423</v>
      </c>
      <c r="H140">
        <v>35</v>
      </c>
      <c r="I140">
        <v>3</v>
      </c>
      <c r="J140">
        <v>1</v>
      </c>
      <c r="K140">
        <v>1</v>
      </c>
      <c r="L140">
        <v>21</v>
      </c>
      <c r="M140">
        <v>21</v>
      </c>
      <c r="N140">
        <v>18</v>
      </c>
      <c r="O140">
        <v>13100.22</v>
      </c>
      <c r="P140">
        <v>12264.81</v>
      </c>
      <c r="Q140" s="15"/>
    </row>
    <row r="141" spans="1:17" x14ac:dyDescent="0.25">
      <c r="A141">
        <v>2018</v>
      </c>
      <c r="B141">
        <v>2020</v>
      </c>
      <c r="C141" t="s">
        <v>134</v>
      </c>
      <c r="D141">
        <v>42310</v>
      </c>
      <c r="E141">
        <v>42</v>
      </c>
      <c r="F141">
        <v>51</v>
      </c>
      <c r="G141">
        <v>40</v>
      </c>
      <c r="H141">
        <v>8</v>
      </c>
      <c r="I141">
        <v>1</v>
      </c>
      <c r="J141">
        <v>2</v>
      </c>
      <c r="K141">
        <v>0</v>
      </c>
      <c r="L141">
        <v>4</v>
      </c>
      <c r="M141">
        <v>3</v>
      </c>
      <c r="N141">
        <v>3</v>
      </c>
      <c r="O141">
        <v>13327.89</v>
      </c>
      <c r="P141">
        <v>11254.92</v>
      </c>
      <c r="Q141" s="15"/>
    </row>
    <row r="142" spans="1:17" x14ac:dyDescent="0.25">
      <c r="A142">
        <v>2018</v>
      </c>
      <c r="B142">
        <v>2020</v>
      </c>
      <c r="C142" t="s">
        <v>134</v>
      </c>
      <c r="D142">
        <v>42345</v>
      </c>
      <c r="E142">
        <v>42</v>
      </c>
      <c r="F142">
        <v>45</v>
      </c>
      <c r="G142">
        <v>38</v>
      </c>
      <c r="H142">
        <v>4</v>
      </c>
      <c r="I142">
        <v>1</v>
      </c>
      <c r="J142">
        <v>2</v>
      </c>
      <c r="K142">
        <v>0</v>
      </c>
      <c r="L142">
        <v>10</v>
      </c>
      <c r="M142">
        <v>8</v>
      </c>
      <c r="N142">
        <v>7</v>
      </c>
      <c r="O142">
        <v>16628.54</v>
      </c>
      <c r="P142">
        <v>14179.5</v>
      </c>
      <c r="Q142" s="15"/>
    </row>
    <row r="143" spans="1:17" x14ac:dyDescent="0.25">
      <c r="A143">
        <v>2018</v>
      </c>
      <c r="B143">
        <v>2020</v>
      </c>
      <c r="C143" t="s">
        <v>134</v>
      </c>
      <c r="D143">
        <v>42721</v>
      </c>
      <c r="E143">
        <v>42</v>
      </c>
      <c r="F143">
        <v>83</v>
      </c>
      <c r="G143">
        <v>68</v>
      </c>
      <c r="H143">
        <v>2</v>
      </c>
      <c r="I143">
        <v>2</v>
      </c>
      <c r="J143">
        <v>11</v>
      </c>
      <c r="K143">
        <v>2</v>
      </c>
      <c r="L143">
        <v>6</v>
      </c>
      <c r="M143">
        <v>3</v>
      </c>
      <c r="N143">
        <v>3</v>
      </c>
      <c r="O143">
        <v>28140.12</v>
      </c>
      <c r="P143">
        <v>27306.21</v>
      </c>
      <c r="Q143" s="15"/>
    </row>
    <row r="144" spans="1:17" x14ac:dyDescent="0.25">
      <c r="A144">
        <v>2018</v>
      </c>
      <c r="B144">
        <v>2020</v>
      </c>
      <c r="C144" t="s">
        <v>134</v>
      </c>
      <c r="D144">
        <v>42723</v>
      </c>
      <c r="E144">
        <v>42</v>
      </c>
      <c r="F144">
        <v>74</v>
      </c>
      <c r="G144">
        <v>69</v>
      </c>
      <c r="H144">
        <v>3</v>
      </c>
      <c r="I144">
        <v>1</v>
      </c>
      <c r="J144">
        <v>1</v>
      </c>
      <c r="K144">
        <v>0</v>
      </c>
      <c r="L144">
        <v>5</v>
      </c>
      <c r="M144">
        <v>4</v>
      </c>
      <c r="N144">
        <v>4</v>
      </c>
      <c r="O144">
        <v>18155.64</v>
      </c>
      <c r="P144">
        <v>16362.29</v>
      </c>
      <c r="Q144" s="15"/>
    </row>
    <row r="145" spans="1:17" x14ac:dyDescent="0.25">
      <c r="A145">
        <v>2018</v>
      </c>
      <c r="B145">
        <v>2020</v>
      </c>
      <c r="C145" t="s">
        <v>134</v>
      </c>
      <c r="D145">
        <v>43222</v>
      </c>
      <c r="E145">
        <v>43</v>
      </c>
      <c r="F145">
        <v>183</v>
      </c>
      <c r="G145">
        <v>121</v>
      </c>
      <c r="H145">
        <v>48</v>
      </c>
      <c r="I145">
        <v>2</v>
      </c>
      <c r="J145">
        <v>12</v>
      </c>
      <c r="K145">
        <v>4</v>
      </c>
      <c r="L145">
        <v>7</v>
      </c>
      <c r="M145">
        <v>7</v>
      </c>
      <c r="N145">
        <v>7</v>
      </c>
      <c r="O145">
        <v>12220.2</v>
      </c>
      <c r="P145">
        <v>11493.52</v>
      </c>
      <c r="Q145" s="15"/>
    </row>
    <row r="146" spans="1:17" x14ac:dyDescent="0.25">
      <c r="A146">
        <v>2018</v>
      </c>
      <c r="B146">
        <v>2020</v>
      </c>
      <c r="C146" t="s">
        <v>134</v>
      </c>
      <c r="D146">
        <v>43224</v>
      </c>
      <c r="E146">
        <v>43</v>
      </c>
      <c r="F146">
        <v>48</v>
      </c>
      <c r="G146">
        <v>40</v>
      </c>
      <c r="H146">
        <v>8</v>
      </c>
      <c r="I146">
        <v>0</v>
      </c>
      <c r="J146">
        <v>0</v>
      </c>
      <c r="K146">
        <v>0</v>
      </c>
      <c r="L146">
        <v>2</v>
      </c>
      <c r="M146">
        <v>2</v>
      </c>
      <c r="N146">
        <v>2</v>
      </c>
      <c r="O146">
        <v>12029.44</v>
      </c>
      <c r="P146">
        <v>11680.22</v>
      </c>
      <c r="Q146" s="15"/>
    </row>
    <row r="147" spans="1:17" x14ac:dyDescent="0.25">
      <c r="A147">
        <v>2018</v>
      </c>
      <c r="B147">
        <v>2020</v>
      </c>
      <c r="C147" t="s">
        <v>134</v>
      </c>
      <c r="D147">
        <v>43310</v>
      </c>
      <c r="E147">
        <v>43</v>
      </c>
      <c r="F147">
        <v>134</v>
      </c>
      <c r="G147">
        <v>102</v>
      </c>
      <c r="H147">
        <v>24</v>
      </c>
      <c r="I147">
        <v>0</v>
      </c>
      <c r="J147">
        <v>8</v>
      </c>
      <c r="K147">
        <v>2</v>
      </c>
      <c r="L147">
        <v>10</v>
      </c>
      <c r="M147">
        <v>8</v>
      </c>
      <c r="N147">
        <v>8</v>
      </c>
      <c r="O147">
        <v>14393.11</v>
      </c>
      <c r="P147">
        <v>13743.46</v>
      </c>
      <c r="Q147" s="15"/>
    </row>
    <row r="148" spans="1:17" x14ac:dyDescent="0.25">
      <c r="A148">
        <v>2018</v>
      </c>
      <c r="B148">
        <v>2020</v>
      </c>
      <c r="C148" t="s">
        <v>134</v>
      </c>
      <c r="D148">
        <v>43321</v>
      </c>
      <c r="E148">
        <v>43</v>
      </c>
      <c r="F148">
        <v>91</v>
      </c>
      <c r="G148">
        <v>79</v>
      </c>
      <c r="H148">
        <v>12</v>
      </c>
      <c r="I148">
        <v>0</v>
      </c>
      <c r="J148">
        <v>0</v>
      </c>
      <c r="K148">
        <v>0</v>
      </c>
      <c r="L148">
        <v>8</v>
      </c>
      <c r="M148">
        <v>8</v>
      </c>
      <c r="N148">
        <v>7</v>
      </c>
      <c r="O148">
        <v>14665.18</v>
      </c>
      <c r="P148">
        <v>13584.3</v>
      </c>
      <c r="Q148" s="15"/>
    </row>
    <row r="149" spans="1:17" x14ac:dyDescent="0.25">
      <c r="A149">
        <v>2018</v>
      </c>
      <c r="B149">
        <v>2020</v>
      </c>
      <c r="C149" t="s">
        <v>134</v>
      </c>
      <c r="D149">
        <v>43322</v>
      </c>
      <c r="E149">
        <v>43</v>
      </c>
      <c r="F149">
        <v>40</v>
      </c>
      <c r="G149">
        <v>36</v>
      </c>
      <c r="H149">
        <v>4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13591.02</v>
      </c>
      <c r="P149">
        <v>12114.27</v>
      </c>
      <c r="Q149" s="15"/>
    </row>
    <row r="150" spans="1:17" x14ac:dyDescent="0.25">
      <c r="A150">
        <v>2018</v>
      </c>
      <c r="B150">
        <v>2020</v>
      </c>
      <c r="C150" t="s">
        <v>134</v>
      </c>
      <c r="D150">
        <v>43344</v>
      </c>
      <c r="E150">
        <v>43</v>
      </c>
      <c r="F150">
        <v>43</v>
      </c>
      <c r="G150">
        <v>34</v>
      </c>
      <c r="H150">
        <v>7</v>
      </c>
      <c r="I150">
        <v>0</v>
      </c>
      <c r="J150">
        <v>2</v>
      </c>
      <c r="K150">
        <v>0</v>
      </c>
      <c r="L150">
        <v>4</v>
      </c>
      <c r="M150">
        <v>3</v>
      </c>
      <c r="N150">
        <v>3</v>
      </c>
      <c r="O150">
        <v>18240.580000000002</v>
      </c>
      <c r="P150">
        <v>14446.72</v>
      </c>
      <c r="Q150" s="15"/>
    </row>
    <row r="151" spans="1:17" x14ac:dyDescent="0.25">
      <c r="A151">
        <v>2018</v>
      </c>
      <c r="B151">
        <v>2020</v>
      </c>
      <c r="C151" t="s">
        <v>134</v>
      </c>
      <c r="D151">
        <v>43345</v>
      </c>
      <c r="E151">
        <v>43</v>
      </c>
      <c r="F151">
        <v>83</v>
      </c>
      <c r="G151">
        <v>64</v>
      </c>
      <c r="H151">
        <v>11</v>
      </c>
      <c r="I151">
        <v>0</v>
      </c>
      <c r="J151">
        <v>8</v>
      </c>
      <c r="K151">
        <v>1</v>
      </c>
      <c r="L151">
        <v>14</v>
      </c>
      <c r="M151">
        <v>10</v>
      </c>
      <c r="N151">
        <v>9</v>
      </c>
      <c r="O151">
        <v>17032.330000000002</v>
      </c>
      <c r="P151">
        <v>15004.95</v>
      </c>
      <c r="Q151" s="15"/>
    </row>
    <row r="152" spans="1:17" x14ac:dyDescent="0.25">
      <c r="A152">
        <v>2018</v>
      </c>
      <c r="B152">
        <v>2020</v>
      </c>
      <c r="C152" t="s">
        <v>134</v>
      </c>
      <c r="D152">
        <v>43380</v>
      </c>
      <c r="E152">
        <v>43</v>
      </c>
      <c r="F152">
        <v>185</v>
      </c>
      <c r="G152">
        <v>156</v>
      </c>
      <c r="H152">
        <v>25</v>
      </c>
      <c r="I152">
        <v>0</v>
      </c>
      <c r="J152">
        <v>4</v>
      </c>
      <c r="K152">
        <v>0</v>
      </c>
      <c r="L152">
        <v>22</v>
      </c>
      <c r="M152">
        <v>20</v>
      </c>
      <c r="N152">
        <v>20</v>
      </c>
      <c r="O152">
        <v>14594.11</v>
      </c>
      <c r="P152">
        <v>13879.24</v>
      </c>
      <c r="Q152" s="15"/>
    </row>
    <row r="153" spans="1:17" x14ac:dyDescent="0.25">
      <c r="A153">
        <v>2018</v>
      </c>
      <c r="B153">
        <v>2020</v>
      </c>
      <c r="C153" t="s">
        <v>134</v>
      </c>
      <c r="D153">
        <v>43420</v>
      </c>
      <c r="E153">
        <v>43</v>
      </c>
      <c r="F153">
        <v>53</v>
      </c>
      <c r="G153">
        <v>44</v>
      </c>
      <c r="H153">
        <v>6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14027.98</v>
      </c>
      <c r="P153">
        <v>12546.2</v>
      </c>
      <c r="Q153" s="15"/>
    </row>
    <row r="154" spans="1:17" x14ac:dyDescent="0.25">
      <c r="A154">
        <v>2018</v>
      </c>
      <c r="B154">
        <v>2020</v>
      </c>
      <c r="C154" t="s">
        <v>134</v>
      </c>
      <c r="D154">
        <v>43440</v>
      </c>
      <c r="E154">
        <v>43</v>
      </c>
      <c r="F154">
        <v>95</v>
      </c>
      <c r="G154">
        <v>76</v>
      </c>
      <c r="H154">
        <v>18</v>
      </c>
      <c r="I154">
        <v>0</v>
      </c>
      <c r="J154">
        <v>1</v>
      </c>
      <c r="K154">
        <v>0</v>
      </c>
      <c r="L154">
        <v>5</v>
      </c>
      <c r="M154">
        <v>5</v>
      </c>
      <c r="N154">
        <v>5</v>
      </c>
      <c r="O154">
        <v>15404.98</v>
      </c>
      <c r="P154">
        <v>14018.86</v>
      </c>
      <c r="Q154" s="15"/>
    </row>
    <row r="155" spans="1:17" x14ac:dyDescent="0.25">
      <c r="A155">
        <v>2018</v>
      </c>
      <c r="B155">
        <v>2020</v>
      </c>
      <c r="C155" t="s">
        <v>134</v>
      </c>
      <c r="D155">
        <v>43481</v>
      </c>
      <c r="E155">
        <v>43</v>
      </c>
      <c r="F155">
        <v>87</v>
      </c>
      <c r="G155">
        <v>74</v>
      </c>
      <c r="H155">
        <v>11</v>
      </c>
      <c r="I155">
        <v>1</v>
      </c>
      <c r="J155">
        <v>1</v>
      </c>
      <c r="K155">
        <v>0</v>
      </c>
      <c r="L155">
        <v>7</v>
      </c>
      <c r="M155">
        <v>7</v>
      </c>
      <c r="N155">
        <v>7</v>
      </c>
      <c r="O155">
        <v>29808.32</v>
      </c>
      <c r="P155">
        <v>26260.46</v>
      </c>
      <c r="Q155" s="15"/>
    </row>
    <row r="156" spans="1:17" x14ac:dyDescent="0.25">
      <c r="A156">
        <v>2018</v>
      </c>
      <c r="B156">
        <v>2020</v>
      </c>
      <c r="C156" t="s">
        <v>134</v>
      </c>
      <c r="D156">
        <v>45142</v>
      </c>
      <c r="E156">
        <v>45</v>
      </c>
      <c r="F156">
        <v>42</v>
      </c>
      <c r="G156">
        <v>36</v>
      </c>
      <c r="H156">
        <v>3</v>
      </c>
      <c r="I156">
        <v>0</v>
      </c>
      <c r="J156">
        <v>3</v>
      </c>
      <c r="K156">
        <v>1</v>
      </c>
      <c r="L156">
        <v>2</v>
      </c>
      <c r="M156">
        <v>2</v>
      </c>
      <c r="N156">
        <v>2</v>
      </c>
      <c r="O156">
        <v>15900.47</v>
      </c>
      <c r="P156">
        <v>16642.439999999999</v>
      </c>
      <c r="Q156" s="15"/>
    </row>
    <row r="157" spans="1:17" x14ac:dyDescent="0.25">
      <c r="A157">
        <v>2018</v>
      </c>
      <c r="B157">
        <v>2020</v>
      </c>
      <c r="C157" t="s">
        <v>134</v>
      </c>
      <c r="D157">
        <v>45222</v>
      </c>
      <c r="E157">
        <v>45</v>
      </c>
      <c r="F157">
        <v>71</v>
      </c>
      <c r="G157">
        <v>61</v>
      </c>
      <c r="H157">
        <v>10</v>
      </c>
      <c r="I157">
        <v>0</v>
      </c>
      <c r="J157">
        <v>0</v>
      </c>
      <c r="K157">
        <v>1</v>
      </c>
      <c r="L157">
        <v>5</v>
      </c>
      <c r="M157">
        <v>4</v>
      </c>
      <c r="N157">
        <v>3</v>
      </c>
      <c r="O157">
        <v>17227.810000000001</v>
      </c>
      <c r="P157">
        <v>15480.08</v>
      </c>
      <c r="Q157" s="15"/>
    </row>
    <row r="158" spans="1:17" x14ac:dyDescent="0.25">
      <c r="A158">
        <v>2018</v>
      </c>
      <c r="B158">
        <v>2020</v>
      </c>
      <c r="C158" t="s">
        <v>134</v>
      </c>
      <c r="D158">
        <v>45310</v>
      </c>
      <c r="E158">
        <v>45</v>
      </c>
      <c r="F158">
        <v>48</v>
      </c>
      <c r="G158">
        <v>43</v>
      </c>
      <c r="H158">
        <v>3</v>
      </c>
      <c r="I158">
        <v>0</v>
      </c>
      <c r="J158">
        <v>2</v>
      </c>
      <c r="K158">
        <v>0</v>
      </c>
      <c r="L158">
        <v>3</v>
      </c>
      <c r="M158">
        <v>3</v>
      </c>
      <c r="N158">
        <v>2</v>
      </c>
      <c r="O158">
        <v>22246.04</v>
      </c>
      <c r="P158">
        <v>20264.03</v>
      </c>
      <c r="Q158" s="15"/>
    </row>
    <row r="159" spans="1:17" x14ac:dyDescent="0.25">
      <c r="A159">
        <v>2018</v>
      </c>
      <c r="B159">
        <v>2020</v>
      </c>
      <c r="C159" t="s">
        <v>134</v>
      </c>
      <c r="D159">
        <v>45345</v>
      </c>
      <c r="E159">
        <v>45</v>
      </c>
      <c r="F159">
        <v>60</v>
      </c>
      <c r="G159">
        <v>53</v>
      </c>
      <c r="H159">
        <v>6</v>
      </c>
      <c r="I159">
        <v>0</v>
      </c>
      <c r="J159">
        <v>1</v>
      </c>
      <c r="K159">
        <v>0</v>
      </c>
      <c r="L159">
        <v>10</v>
      </c>
      <c r="M159">
        <v>8</v>
      </c>
      <c r="N159">
        <v>7</v>
      </c>
      <c r="O159">
        <v>21278.33</v>
      </c>
      <c r="P159">
        <v>19280.580000000002</v>
      </c>
      <c r="Q159" s="15"/>
    </row>
    <row r="160" spans="1:17" x14ac:dyDescent="0.25">
      <c r="A160">
        <v>2018</v>
      </c>
      <c r="B160">
        <v>2020</v>
      </c>
      <c r="C160" t="s">
        <v>134</v>
      </c>
      <c r="D160">
        <v>45440</v>
      </c>
      <c r="E160">
        <v>45</v>
      </c>
      <c r="F160">
        <v>48</v>
      </c>
      <c r="G160">
        <v>44</v>
      </c>
      <c r="H160">
        <v>4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20042.04</v>
      </c>
      <c r="P160">
        <v>18695.46</v>
      </c>
      <c r="Q160" s="15"/>
    </row>
    <row r="161" spans="1:17" x14ac:dyDescent="0.25">
      <c r="A161">
        <v>2018</v>
      </c>
      <c r="B161">
        <v>2020</v>
      </c>
      <c r="C161" t="s">
        <v>134</v>
      </c>
      <c r="D161">
        <v>45481</v>
      </c>
      <c r="E161">
        <v>45</v>
      </c>
      <c r="F161">
        <v>41</v>
      </c>
      <c r="G161">
        <v>37</v>
      </c>
      <c r="H161">
        <v>3</v>
      </c>
      <c r="I161">
        <v>0</v>
      </c>
      <c r="J161">
        <v>1</v>
      </c>
      <c r="K161">
        <v>0</v>
      </c>
      <c r="L161">
        <v>6</v>
      </c>
      <c r="M161">
        <v>6</v>
      </c>
      <c r="N161">
        <v>6</v>
      </c>
      <c r="O161">
        <v>40653.370000000003</v>
      </c>
      <c r="P161">
        <v>37707.01</v>
      </c>
      <c r="Q161" s="15"/>
    </row>
    <row r="162" spans="1:17" x14ac:dyDescent="0.25">
      <c r="A162">
        <v>2018</v>
      </c>
      <c r="B162">
        <v>2020</v>
      </c>
      <c r="C162" t="s">
        <v>134</v>
      </c>
      <c r="D162">
        <v>47142</v>
      </c>
      <c r="E162">
        <v>47</v>
      </c>
      <c r="F162">
        <v>44</v>
      </c>
      <c r="G162">
        <v>43</v>
      </c>
      <c r="H162">
        <v>0</v>
      </c>
      <c r="I162">
        <v>0</v>
      </c>
      <c r="J162">
        <v>1</v>
      </c>
      <c r="K162">
        <v>0</v>
      </c>
      <c r="L162">
        <v>5</v>
      </c>
      <c r="M162">
        <v>5</v>
      </c>
      <c r="N162">
        <v>5</v>
      </c>
      <c r="O162">
        <v>16106.72</v>
      </c>
      <c r="P162">
        <v>16262.75</v>
      </c>
      <c r="Q162" s="15"/>
    </row>
    <row r="163" spans="1:17" x14ac:dyDescent="0.25">
      <c r="A163">
        <v>2018</v>
      </c>
      <c r="B163">
        <v>2020</v>
      </c>
      <c r="C163" t="s">
        <v>134</v>
      </c>
      <c r="D163">
        <v>47313</v>
      </c>
      <c r="E163">
        <v>47</v>
      </c>
      <c r="F163">
        <v>35</v>
      </c>
      <c r="G163">
        <v>34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1</v>
      </c>
      <c r="N163">
        <v>1</v>
      </c>
      <c r="O163">
        <v>16802.169999999998</v>
      </c>
      <c r="P163">
        <v>17058.900000000001</v>
      </c>
      <c r="Q163" s="15"/>
    </row>
    <row r="164" spans="1:17" x14ac:dyDescent="0.25">
      <c r="A164">
        <v>2018</v>
      </c>
      <c r="B164">
        <v>2020</v>
      </c>
      <c r="C164" t="s">
        <v>134</v>
      </c>
      <c r="D164">
        <v>47345</v>
      </c>
      <c r="E164">
        <v>47</v>
      </c>
      <c r="F164">
        <v>57</v>
      </c>
      <c r="G164">
        <v>54</v>
      </c>
      <c r="H164">
        <v>3</v>
      </c>
      <c r="I164">
        <v>0</v>
      </c>
      <c r="J164">
        <v>0</v>
      </c>
      <c r="K164">
        <v>2</v>
      </c>
      <c r="L164">
        <v>11</v>
      </c>
      <c r="M164">
        <v>10</v>
      </c>
      <c r="N164">
        <v>9</v>
      </c>
      <c r="O164">
        <v>21323.83</v>
      </c>
      <c r="P164">
        <v>18632.490000000002</v>
      </c>
      <c r="Q164" s="15"/>
    </row>
    <row r="165" spans="1:17" x14ac:dyDescent="0.25">
      <c r="A165">
        <v>2018</v>
      </c>
      <c r="B165">
        <v>2020</v>
      </c>
      <c r="C165" t="s">
        <v>134</v>
      </c>
      <c r="D165">
        <v>47380</v>
      </c>
      <c r="E165">
        <v>47</v>
      </c>
      <c r="F165">
        <v>140</v>
      </c>
      <c r="G165">
        <v>126</v>
      </c>
      <c r="H165">
        <v>11</v>
      </c>
      <c r="I165">
        <v>1</v>
      </c>
      <c r="J165">
        <v>2</v>
      </c>
      <c r="K165">
        <v>0</v>
      </c>
      <c r="L165">
        <v>15</v>
      </c>
      <c r="M165">
        <v>15</v>
      </c>
      <c r="N165">
        <v>15</v>
      </c>
      <c r="O165">
        <v>21905.45</v>
      </c>
      <c r="P165">
        <v>20361.7</v>
      </c>
      <c r="Q165" s="15"/>
    </row>
    <row r="166" spans="1:17" x14ac:dyDescent="0.25">
      <c r="A166">
        <v>2018</v>
      </c>
      <c r="B166">
        <v>2020</v>
      </c>
      <c r="C166" t="s">
        <v>134</v>
      </c>
      <c r="D166">
        <v>48141</v>
      </c>
      <c r="E166">
        <v>48</v>
      </c>
      <c r="F166">
        <v>114</v>
      </c>
      <c r="G166">
        <v>111</v>
      </c>
      <c r="H166">
        <v>2</v>
      </c>
      <c r="I166">
        <v>0</v>
      </c>
      <c r="J166">
        <v>1</v>
      </c>
      <c r="K166">
        <v>0</v>
      </c>
      <c r="L166">
        <v>5</v>
      </c>
      <c r="M166">
        <v>5</v>
      </c>
      <c r="N166">
        <v>4</v>
      </c>
      <c r="O166">
        <v>16106.54</v>
      </c>
      <c r="P166">
        <v>14870.63</v>
      </c>
      <c r="Q166" s="15"/>
    </row>
    <row r="167" spans="1:17" x14ac:dyDescent="0.25">
      <c r="A167">
        <v>2018</v>
      </c>
      <c r="B167">
        <v>2020</v>
      </c>
      <c r="C167" t="s">
        <v>134</v>
      </c>
      <c r="D167">
        <v>48721</v>
      </c>
      <c r="E167">
        <v>48</v>
      </c>
      <c r="F167">
        <v>72</v>
      </c>
      <c r="G167">
        <v>66</v>
      </c>
      <c r="H167">
        <v>2</v>
      </c>
      <c r="I167">
        <v>1</v>
      </c>
      <c r="J167">
        <v>3</v>
      </c>
      <c r="K167">
        <v>0</v>
      </c>
      <c r="L167">
        <v>14</v>
      </c>
      <c r="M167">
        <v>12</v>
      </c>
      <c r="N167">
        <v>12</v>
      </c>
      <c r="O167">
        <v>34600.31</v>
      </c>
      <c r="P167">
        <v>34375.18</v>
      </c>
      <c r="Q167" s="15"/>
    </row>
    <row r="168" spans="1:17" x14ac:dyDescent="0.25">
      <c r="A168">
        <v>2018</v>
      </c>
      <c r="B168">
        <v>2020</v>
      </c>
      <c r="C168" t="s">
        <v>133</v>
      </c>
      <c r="D168">
        <v>42345</v>
      </c>
      <c r="E168">
        <v>42</v>
      </c>
      <c r="F168">
        <v>159</v>
      </c>
      <c r="G168">
        <v>130</v>
      </c>
      <c r="H168">
        <v>25</v>
      </c>
      <c r="I168">
        <v>1</v>
      </c>
      <c r="J168">
        <v>3</v>
      </c>
      <c r="K168">
        <v>0</v>
      </c>
      <c r="L168">
        <v>15</v>
      </c>
      <c r="M168">
        <v>11</v>
      </c>
      <c r="N168">
        <v>11</v>
      </c>
      <c r="O168">
        <v>18871.09</v>
      </c>
      <c r="P168">
        <v>17348.41</v>
      </c>
      <c r="Q168" s="15"/>
    </row>
    <row r="169" spans="1:17" x14ac:dyDescent="0.25">
      <c r="A169">
        <v>2018</v>
      </c>
      <c r="B169">
        <v>2020</v>
      </c>
      <c r="C169" t="s">
        <v>133</v>
      </c>
      <c r="D169">
        <v>42522</v>
      </c>
      <c r="E169">
        <v>42</v>
      </c>
      <c r="F169">
        <v>69</v>
      </c>
      <c r="G169">
        <v>61</v>
      </c>
      <c r="H169">
        <v>5</v>
      </c>
      <c r="I169">
        <v>0</v>
      </c>
      <c r="J169">
        <v>3</v>
      </c>
      <c r="K169">
        <v>2</v>
      </c>
      <c r="L169">
        <v>9</v>
      </c>
      <c r="M169">
        <v>9</v>
      </c>
      <c r="N169">
        <v>9</v>
      </c>
      <c r="O169">
        <v>20317.439999999999</v>
      </c>
      <c r="P169">
        <v>19682.73</v>
      </c>
      <c r="Q169" s="15"/>
    </row>
    <row r="170" spans="1:17" x14ac:dyDescent="0.25">
      <c r="A170">
        <v>2018</v>
      </c>
      <c r="B170">
        <v>2020</v>
      </c>
      <c r="C170" t="s">
        <v>133</v>
      </c>
      <c r="D170">
        <v>42525</v>
      </c>
      <c r="E170">
        <v>42</v>
      </c>
      <c r="F170">
        <v>129</v>
      </c>
      <c r="G170">
        <v>113</v>
      </c>
      <c r="H170">
        <v>12</v>
      </c>
      <c r="I170">
        <v>0</v>
      </c>
      <c r="J170">
        <v>4</v>
      </c>
      <c r="K170">
        <v>0</v>
      </c>
      <c r="L170">
        <v>5</v>
      </c>
      <c r="M170">
        <v>4</v>
      </c>
      <c r="N170">
        <v>4</v>
      </c>
      <c r="O170">
        <v>16974.419999999998</v>
      </c>
      <c r="P170">
        <v>16749.54</v>
      </c>
      <c r="Q170" s="15"/>
    </row>
    <row r="171" spans="1:17" x14ac:dyDescent="0.25">
      <c r="A171">
        <v>2018</v>
      </c>
      <c r="B171">
        <v>2020</v>
      </c>
      <c r="C171" t="s">
        <v>133</v>
      </c>
      <c r="D171">
        <v>42582</v>
      </c>
      <c r="E171">
        <v>42</v>
      </c>
      <c r="F171">
        <v>125</v>
      </c>
      <c r="G171">
        <v>114</v>
      </c>
      <c r="H171">
        <v>8</v>
      </c>
      <c r="I171">
        <v>3</v>
      </c>
      <c r="J171">
        <v>0</v>
      </c>
      <c r="K171">
        <v>2</v>
      </c>
      <c r="L171">
        <v>21</v>
      </c>
      <c r="M171">
        <v>19</v>
      </c>
      <c r="N171">
        <v>19</v>
      </c>
      <c r="O171">
        <v>21265.56</v>
      </c>
      <c r="P171">
        <v>19933.310000000001</v>
      </c>
      <c r="Q171" s="15"/>
    </row>
    <row r="172" spans="1:17" x14ac:dyDescent="0.25">
      <c r="A172">
        <v>2018</v>
      </c>
      <c r="B172">
        <v>2020</v>
      </c>
      <c r="C172" t="s">
        <v>133</v>
      </c>
      <c r="D172">
        <v>42861</v>
      </c>
      <c r="E172">
        <v>42</v>
      </c>
      <c r="F172">
        <v>85</v>
      </c>
      <c r="G172">
        <v>77</v>
      </c>
      <c r="H172">
        <v>7</v>
      </c>
      <c r="I172">
        <v>0</v>
      </c>
      <c r="J172">
        <v>1</v>
      </c>
      <c r="K172">
        <v>1</v>
      </c>
      <c r="L172">
        <v>3</v>
      </c>
      <c r="M172">
        <v>3</v>
      </c>
      <c r="N172">
        <v>3</v>
      </c>
      <c r="O172">
        <v>15209.23</v>
      </c>
      <c r="P172">
        <v>15240</v>
      </c>
      <c r="Q172" s="15"/>
    </row>
    <row r="173" spans="1:17" x14ac:dyDescent="0.25">
      <c r="A173">
        <v>2018</v>
      </c>
      <c r="B173">
        <v>2020</v>
      </c>
      <c r="C173" t="s">
        <v>133</v>
      </c>
      <c r="D173">
        <v>43345</v>
      </c>
      <c r="E173">
        <v>43</v>
      </c>
      <c r="F173">
        <v>93</v>
      </c>
      <c r="G173">
        <v>55</v>
      </c>
      <c r="H173">
        <v>4</v>
      </c>
      <c r="I173">
        <v>7</v>
      </c>
      <c r="J173">
        <v>27</v>
      </c>
      <c r="K173">
        <v>15</v>
      </c>
      <c r="L173">
        <v>16</v>
      </c>
      <c r="M173">
        <v>15</v>
      </c>
      <c r="N173">
        <v>13</v>
      </c>
      <c r="O173">
        <v>21107.439999999999</v>
      </c>
      <c r="P173">
        <v>17556.63</v>
      </c>
      <c r="Q173" s="15"/>
    </row>
    <row r="174" spans="1:17" x14ac:dyDescent="0.25">
      <c r="A174">
        <v>2018</v>
      </c>
      <c r="B174">
        <v>2020</v>
      </c>
      <c r="C174" t="s">
        <v>133</v>
      </c>
      <c r="D174">
        <v>43481</v>
      </c>
      <c r="E174">
        <v>43</v>
      </c>
      <c r="F174">
        <v>112</v>
      </c>
      <c r="G174">
        <v>92</v>
      </c>
      <c r="H174">
        <v>14</v>
      </c>
      <c r="I174">
        <v>0</v>
      </c>
      <c r="J174">
        <v>6</v>
      </c>
      <c r="K174">
        <v>4</v>
      </c>
      <c r="L174">
        <v>8</v>
      </c>
      <c r="M174">
        <v>6</v>
      </c>
      <c r="N174">
        <v>6</v>
      </c>
      <c r="O174">
        <v>19338.25</v>
      </c>
      <c r="P174">
        <v>18655.18</v>
      </c>
      <c r="Q174" s="15"/>
    </row>
    <row r="175" spans="1:17" x14ac:dyDescent="0.25">
      <c r="A175">
        <v>2018</v>
      </c>
      <c r="B175">
        <v>2020</v>
      </c>
      <c r="C175" t="s">
        <v>133</v>
      </c>
      <c r="D175">
        <v>43522</v>
      </c>
      <c r="E175">
        <v>43</v>
      </c>
      <c r="F175">
        <v>56</v>
      </c>
      <c r="G175">
        <v>46</v>
      </c>
      <c r="H175">
        <v>10</v>
      </c>
      <c r="I175">
        <v>0</v>
      </c>
      <c r="J175">
        <v>0</v>
      </c>
      <c r="K175">
        <v>0</v>
      </c>
      <c r="L175">
        <v>6</v>
      </c>
      <c r="M175">
        <v>5</v>
      </c>
      <c r="N175">
        <v>5</v>
      </c>
      <c r="O175">
        <v>19079.169999999998</v>
      </c>
      <c r="P175">
        <v>17542.48</v>
      </c>
      <c r="Q175" s="15"/>
    </row>
    <row r="176" spans="1:17" x14ac:dyDescent="0.25">
      <c r="A176">
        <v>2018</v>
      </c>
      <c r="B176">
        <v>2020</v>
      </c>
      <c r="C176" t="s">
        <v>133</v>
      </c>
      <c r="D176">
        <v>43523</v>
      </c>
      <c r="E176">
        <v>43</v>
      </c>
      <c r="F176">
        <v>70</v>
      </c>
      <c r="G176">
        <v>59</v>
      </c>
      <c r="H176">
        <v>9</v>
      </c>
      <c r="I176">
        <v>0</v>
      </c>
      <c r="J176">
        <v>2</v>
      </c>
      <c r="K176">
        <v>1</v>
      </c>
      <c r="L176">
        <v>4</v>
      </c>
      <c r="M176">
        <v>3</v>
      </c>
      <c r="N176">
        <v>2</v>
      </c>
      <c r="O176">
        <v>18417.55</v>
      </c>
      <c r="P176">
        <v>17802.509999999998</v>
      </c>
      <c r="Q176" s="15"/>
    </row>
    <row r="177" spans="1:17" x14ac:dyDescent="0.25">
      <c r="A177">
        <v>2018</v>
      </c>
      <c r="B177">
        <v>2020</v>
      </c>
      <c r="C177" t="s">
        <v>133</v>
      </c>
      <c r="D177">
        <v>43524</v>
      </c>
      <c r="E177">
        <v>43</v>
      </c>
      <c r="F177">
        <v>37</v>
      </c>
      <c r="G177">
        <v>34</v>
      </c>
      <c r="H177">
        <v>2</v>
      </c>
      <c r="I177">
        <v>1</v>
      </c>
      <c r="J177">
        <v>0</v>
      </c>
      <c r="K177">
        <v>1</v>
      </c>
      <c r="L177">
        <v>2</v>
      </c>
      <c r="M177">
        <v>2</v>
      </c>
      <c r="N177">
        <v>2</v>
      </c>
      <c r="O177">
        <v>12052.16</v>
      </c>
      <c r="P177">
        <v>12915.77</v>
      </c>
      <c r="Q177" s="15"/>
    </row>
    <row r="178" spans="1:17" x14ac:dyDescent="0.25">
      <c r="A178">
        <v>2018</v>
      </c>
      <c r="B178">
        <v>2020</v>
      </c>
      <c r="C178" t="s">
        <v>133</v>
      </c>
      <c r="D178">
        <v>47345</v>
      </c>
      <c r="E178">
        <v>47</v>
      </c>
      <c r="F178">
        <v>99</v>
      </c>
      <c r="G178">
        <v>83</v>
      </c>
      <c r="H178">
        <v>10</v>
      </c>
      <c r="I178">
        <v>2</v>
      </c>
      <c r="J178">
        <v>4</v>
      </c>
      <c r="K178">
        <v>1</v>
      </c>
      <c r="L178">
        <v>22</v>
      </c>
      <c r="M178">
        <v>16</v>
      </c>
      <c r="N178">
        <v>16</v>
      </c>
      <c r="O178">
        <v>36884.17</v>
      </c>
      <c r="P178">
        <v>25073.34</v>
      </c>
      <c r="Q178" s="15"/>
    </row>
    <row r="179" spans="1:17" x14ac:dyDescent="0.25">
      <c r="A179">
        <v>2018</v>
      </c>
      <c r="B179">
        <v>2020</v>
      </c>
      <c r="C179" t="s">
        <v>133</v>
      </c>
      <c r="D179">
        <v>47522</v>
      </c>
      <c r="E179">
        <v>47</v>
      </c>
      <c r="F179">
        <v>41</v>
      </c>
      <c r="G179">
        <v>40</v>
      </c>
      <c r="H179">
        <v>1</v>
      </c>
      <c r="I179">
        <v>0</v>
      </c>
      <c r="J179">
        <v>0</v>
      </c>
      <c r="K179">
        <v>1</v>
      </c>
      <c r="L179">
        <v>9</v>
      </c>
      <c r="M179">
        <v>8</v>
      </c>
      <c r="N179">
        <v>7</v>
      </c>
      <c r="O179">
        <v>27957.61</v>
      </c>
      <c r="P179">
        <v>23902.73</v>
      </c>
      <c r="Q179" s="15"/>
    </row>
    <row r="180" spans="1:17" x14ac:dyDescent="0.25">
      <c r="A180">
        <v>2018</v>
      </c>
      <c r="B180">
        <v>2020</v>
      </c>
      <c r="C180" t="s">
        <v>133</v>
      </c>
      <c r="D180">
        <v>47525</v>
      </c>
      <c r="E180">
        <v>47</v>
      </c>
      <c r="F180">
        <v>39</v>
      </c>
      <c r="G180">
        <v>32</v>
      </c>
      <c r="H180">
        <v>3</v>
      </c>
      <c r="I180">
        <v>1</v>
      </c>
      <c r="J180">
        <v>3</v>
      </c>
      <c r="K180">
        <v>4</v>
      </c>
      <c r="L180">
        <v>3</v>
      </c>
      <c r="M180">
        <v>3</v>
      </c>
      <c r="N180">
        <v>3</v>
      </c>
      <c r="O180">
        <v>22607.23</v>
      </c>
      <c r="P180">
        <v>20610.23</v>
      </c>
      <c r="Q180" s="15"/>
    </row>
    <row r="181" spans="1:17" x14ac:dyDescent="0.25">
      <c r="A181">
        <v>2018</v>
      </c>
      <c r="B181">
        <v>2020</v>
      </c>
      <c r="C181" t="s">
        <v>133</v>
      </c>
      <c r="D181">
        <v>47581</v>
      </c>
      <c r="E181">
        <v>47</v>
      </c>
      <c r="F181">
        <v>81</v>
      </c>
      <c r="G181">
        <v>71</v>
      </c>
      <c r="H181">
        <v>5</v>
      </c>
      <c r="I181">
        <v>1</v>
      </c>
      <c r="J181">
        <v>4</v>
      </c>
      <c r="K181">
        <v>0</v>
      </c>
      <c r="L181">
        <v>16</v>
      </c>
      <c r="M181">
        <v>15</v>
      </c>
      <c r="N181">
        <v>15</v>
      </c>
      <c r="O181">
        <v>14820.04</v>
      </c>
      <c r="P181">
        <v>15577.38</v>
      </c>
      <c r="Q181" s="15"/>
    </row>
    <row r="182" spans="1:17" x14ac:dyDescent="0.25">
      <c r="A182">
        <v>2018</v>
      </c>
      <c r="B182">
        <v>2020</v>
      </c>
      <c r="C182" t="s">
        <v>133</v>
      </c>
      <c r="D182">
        <v>47582</v>
      </c>
      <c r="E182">
        <v>47</v>
      </c>
      <c r="F182">
        <v>62</v>
      </c>
      <c r="G182">
        <v>54</v>
      </c>
      <c r="H182">
        <v>1</v>
      </c>
      <c r="I182">
        <v>0</v>
      </c>
      <c r="J182">
        <v>7</v>
      </c>
      <c r="K182">
        <v>2</v>
      </c>
      <c r="L182">
        <v>13</v>
      </c>
      <c r="M182">
        <v>10</v>
      </c>
      <c r="N182">
        <v>9</v>
      </c>
      <c r="O182">
        <v>30933.08</v>
      </c>
      <c r="P182">
        <v>26598.47</v>
      </c>
      <c r="Q182" s="15"/>
    </row>
    <row r="183" spans="1:17" x14ac:dyDescent="0.25">
      <c r="A183">
        <v>2018</v>
      </c>
      <c r="B183">
        <v>2020</v>
      </c>
      <c r="C183" t="s">
        <v>133</v>
      </c>
      <c r="D183">
        <v>47861</v>
      </c>
      <c r="E183">
        <v>47</v>
      </c>
      <c r="F183">
        <v>35</v>
      </c>
      <c r="G183">
        <v>31</v>
      </c>
      <c r="H183">
        <v>2</v>
      </c>
      <c r="I183">
        <v>0</v>
      </c>
      <c r="J183">
        <v>2</v>
      </c>
      <c r="K183">
        <v>0</v>
      </c>
      <c r="L183">
        <v>4</v>
      </c>
      <c r="M183">
        <v>2</v>
      </c>
      <c r="N183">
        <v>2</v>
      </c>
      <c r="O183">
        <v>20197.849999999999</v>
      </c>
      <c r="P183">
        <v>17595.919999999998</v>
      </c>
      <c r="Q183" s="15"/>
    </row>
    <row r="184" spans="1:17" x14ac:dyDescent="0.25">
      <c r="A184">
        <v>2018</v>
      </c>
      <c r="B184">
        <v>2020</v>
      </c>
      <c r="C184" t="s">
        <v>132</v>
      </c>
      <c r="D184">
        <v>41813</v>
      </c>
      <c r="E184">
        <v>41</v>
      </c>
      <c r="F184">
        <v>48</v>
      </c>
      <c r="G184">
        <v>35</v>
      </c>
      <c r="H184">
        <v>9</v>
      </c>
      <c r="I184">
        <v>3</v>
      </c>
      <c r="J184">
        <v>1</v>
      </c>
      <c r="K184">
        <v>0</v>
      </c>
      <c r="L184">
        <v>4</v>
      </c>
      <c r="M184">
        <v>4</v>
      </c>
      <c r="N184">
        <v>4</v>
      </c>
      <c r="O184">
        <v>16391.349999999999</v>
      </c>
      <c r="P184">
        <v>10396.879999999999</v>
      </c>
      <c r="Q184" s="15"/>
    </row>
    <row r="185" spans="1:17" x14ac:dyDescent="0.25">
      <c r="A185">
        <v>2018</v>
      </c>
      <c r="B185">
        <v>2020</v>
      </c>
      <c r="C185" t="s">
        <v>132</v>
      </c>
      <c r="D185">
        <v>42380</v>
      </c>
      <c r="E185">
        <v>42</v>
      </c>
      <c r="F185">
        <v>131</v>
      </c>
      <c r="G185">
        <v>110</v>
      </c>
      <c r="H185">
        <v>17</v>
      </c>
      <c r="I185">
        <v>0</v>
      </c>
      <c r="J185">
        <v>4</v>
      </c>
      <c r="K185">
        <v>0</v>
      </c>
      <c r="L185">
        <v>10</v>
      </c>
      <c r="M185">
        <v>8</v>
      </c>
      <c r="N185">
        <v>8</v>
      </c>
      <c r="O185">
        <v>20173.669999999998</v>
      </c>
      <c r="P185">
        <v>18462.400000000001</v>
      </c>
      <c r="Q185" s="15"/>
    </row>
    <row r="186" spans="1:17" x14ac:dyDescent="0.25">
      <c r="A186">
        <v>2018</v>
      </c>
      <c r="B186">
        <v>2020</v>
      </c>
      <c r="C186" t="s">
        <v>132</v>
      </c>
      <c r="D186">
        <v>42722</v>
      </c>
      <c r="E186">
        <v>42</v>
      </c>
      <c r="F186">
        <v>108</v>
      </c>
      <c r="G186">
        <v>97</v>
      </c>
      <c r="H186">
        <v>11</v>
      </c>
      <c r="I186">
        <v>0</v>
      </c>
      <c r="J186">
        <v>0</v>
      </c>
      <c r="K186">
        <v>2</v>
      </c>
      <c r="L186">
        <v>12</v>
      </c>
      <c r="M186">
        <v>8</v>
      </c>
      <c r="N186">
        <v>8</v>
      </c>
      <c r="O186">
        <v>13969.82</v>
      </c>
      <c r="P186">
        <v>13370.02</v>
      </c>
      <c r="Q186" s="15"/>
    </row>
    <row r="187" spans="1:17" x14ac:dyDescent="0.25">
      <c r="A187">
        <v>2018</v>
      </c>
      <c r="B187">
        <v>2020</v>
      </c>
      <c r="C187" t="s">
        <v>132</v>
      </c>
      <c r="D187">
        <v>42723</v>
      </c>
      <c r="E187">
        <v>42</v>
      </c>
      <c r="F187">
        <v>143</v>
      </c>
      <c r="G187">
        <v>134</v>
      </c>
      <c r="H187">
        <v>8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17128.060000000001</v>
      </c>
      <c r="P187">
        <v>15459.84</v>
      </c>
      <c r="Q187" s="15"/>
    </row>
    <row r="188" spans="1:17" x14ac:dyDescent="0.25">
      <c r="A188">
        <v>2018</v>
      </c>
      <c r="B188">
        <v>2020</v>
      </c>
      <c r="C188" t="s">
        <v>132</v>
      </c>
      <c r="D188">
        <v>43380</v>
      </c>
      <c r="E188">
        <v>43</v>
      </c>
      <c r="F188">
        <v>51</v>
      </c>
      <c r="G188">
        <v>44</v>
      </c>
      <c r="H188">
        <v>6</v>
      </c>
      <c r="I188">
        <v>0</v>
      </c>
      <c r="J188">
        <v>1</v>
      </c>
      <c r="K188">
        <v>0</v>
      </c>
      <c r="L188">
        <v>10</v>
      </c>
      <c r="M188">
        <v>7</v>
      </c>
      <c r="N188">
        <v>7</v>
      </c>
      <c r="O188">
        <v>18220.59</v>
      </c>
      <c r="P188">
        <v>17093.93</v>
      </c>
      <c r="Q188" s="15"/>
    </row>
    <row r="189" spans="1:17" x14ac:dyDescent="0.25">
      <c r="A189">
        <v>2018</v>
      </c>
      <c r="B189">
        <v>2020</v>
      </c>
      <c r="C189" t="s">
        <v>132</v>
      </c>
      <c r="D189">
        <v>47345</v>
      </c>
      <c r="E189">
        <v>47</v>
      </c>
      <c r="F189">
        <v>34</v>
      </c>
      <c r="G189">
        <v>32</v>
      </c>
      <c r="H189">
        <v>1</v>
      </c>
      <c r="I189">
        <v>0</v>
      </c>
      <c r="J189">
        <v>1</v>
      </c>
      <c r="K189">
        <v>0</v>
      </c>
      <c r="L189">
        <v>9</v>
      </c>
      <c r="M189">
        <v>6</v>
      </c>
      <c r="N189">
        <v>6</v>
      </c>
      <c r="O189">
        <v>36395.160000000003</v>
      </c>
      <c r="P189">
        <v>21079.599999999999</v>
      </c>
      <c r="Q189" s="15"/>
    </row>
    <row r="190" spans="1:17" x14ac:dyDescent="0.25">
      <c r="A190">
        <v>2018</v>
      </c>
      <c r="B190">
        <v>2020</v>
      </c>
      <c r="C190" t="s">
        <v>132</v>
      </c>
      <c r="D190">
        <v>47380</v>
      </c>
      <c r="E190">
        <v>47</v>
      </c>
      <c r="F190">
        <v>84</v>
      </c>
      <c r="G190">
        <v>72</v>
      </c>
      <c r="H190">
        <v>9</v>
      </c>
      <c r="I190">
        <v>0</v>
      </c>
      <c r="J190">
        <v>3</v>
      </c>
      <c r="K190">
        <v>0</v>
      </c>
      <c r="L190">
        <v>10</v>
      </c>
      <c r="M190">
        <v>7</v>
      </c>
      <c r="N190">
        <v>7</v>
      </c>
      <c r="O190">
        <v>21312.19</v>
      </c>
      <c r="P190">
        <v>20025.12</v>
      </c>
      <c r="Q190" s="15"/>
    </row>
    <row r="191" spans="1:17" x14ac:dyDescent="0.25">
      <c r="A191">
        <v>2018</v>
      </c>
      <c r="B191">
        <v>2020</v>
      </c>
      <c r="C191" t="s">
        <v>132</v>
      </c>
      <c r="D191">
        <v>47721</v>
      </c>
      <c r="E191">
        <v>47</v>
      </c>
      <c r="F191">
        <v>130</v>
      </c>
      <c r="G191">
        <v>128</v>
      </c>
      <c r="H191">
        <v>1</v>
      </c>
      <c r="I191">
        <v>1</v>
      </c>
      <c r="J191">
        <v>0</v>
      </c>
      <c r="K191">
        <v>2</v>
      </c>
      <c r="L191">
        <v>17</v>
      </c>
      <c r="M191">
        <v>15</v>
      </c>
      <c r="N191">
        <v>14</v>
      </c>
      <c r="O191">
        <v>46100.11</v>
      </c>
      <c r="P191">
        <v>41225.910000000003</v>
      </c>
      <c r="Q191" s="15"/>
    </row>
    <row r="192" spans="1:17" x14ac:dyDescent="0.25">
      <c r="A192">
        <v>2018</v>
      </c>
      <c r="B192">
        <v>2020</v>
      </c>
      <c r="C192" t="s">
        <v>132</v>
      </c>
      <c r="D192">
        <v>49721</v>
      </c>
      <c r="E192">
        <v>49</v>
      </c>
      <c r="F192">
        <v>320</v>
      </c>
      <c r="G192">
        <v>149</v>
      </c>
      <c r="H192">
        <v>16</v>
      </c>
      <c r="I192">
        <v>4</v>
      </c>
      <c r="J192">
        <v>151</v>
      </c>
      <c r="K192">
        <v>4</v>
      </c>
      <c r="L192">
        <v>7</v>
      </c>
      <c r="M192">
        <v>6</v>
      </c>
      <c r="N192">
        <v>5</v>
      </c>
      <c r="O192">
        <v>24247.41</v>
      </c>
      <c r="P192">
        <v>22428.47</v>
      </c>
      <c r="Q192" s="15"/>
    </row>
    <row r="193" spans="1:17" x14ac:dyDescent="0.25">
      <c r="A193">
        <v>2018</v>
      </c>
      <c r="B193">
        <v>2020</v>
      </c>
      <c r="C193" t="s">
        <v>131</v>
      </c>
      <c r="D193">
        <v>41813</v>
      </c>
      <c r="E193">
        <v>41</v>
      </c>
      <c r="F193">
        <v>45</v>
      </c>
      <c r="G193">
        <v>37</v>
      </c>
      <c r="H193">
        <v>6</v>
      </c>
      <c r="I193">
        <v>0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14986.28</v>
      </c>
      <c r="P193">
        <v>13648.16</v>
      </c>
      <c r="Q193" s="15"/>
    </row>
    <row r="194" spans="1:17" x14ac:dyDescent="0.25">
      <c r="A194">
        <v>2018</v>
      </c>
      <c r="B194">
        <v>2020</v>
      </c>
      <c r="C194" t="s">
        <v>131</v>
      </c>
      <c r="D194">
        <v>42722</v>
      </c>
      <c r="E194">
        <v>42</v>
      </c>
      <c r="F194">
        <v>79</v>
      </c>
      <c r="G194">
        <v>68</v>
      </c>
      <c r="H194">
        <v>8</v>
      </c>
      <c r="I194">
        <v>2</v>
      </c>
      <c r="J194">
        <v>1</v>
      </c>
      <c r="K194">
        <v>1</v>
      </c>
      <c r="L194">
        <v>10</v>
      </c>
      <c r="M194">
        <v>6</v>
      </c>
      <c r="N194">
        <v>6</v>
      </c>
      <c r="O194">
        <v>13569.72</v>
      </c>
      <c r="P194">
        <v>13045.6</v>
      </c>
      <c r="Q194" s="15"/>
    </row>
    <row r="195" spans="1:17" x14ac:dyDescent="0.25">
      <c r="A195">
        <v>2018</v>
      </c>
      <c r="B195">
        <v>2020</v>
      </c>
      <c r="C195" t="s">
        <v>131</v>
      </c>
      <c r="D195">
        <v>42813</v>
      </c>
      <c r="E195">
        <v>42</v>
      </c>
      <c r="F195">
        <v>67</v>
      </c>
      <c r="G195">
        <v>52</v>
      </c>
      <c r="H195">
        <v>14</v>
      </c>
      <c r="I195">
        <v>0</v>
      </c>
      <c r="J195">
        <v>1</v>
      </c>
      <c r="K195">
        <v>0</v>
      </c>
      <c r="L195">
        <v>5</v>
      </c>
      <c r="M195">
        <v>4</v>
      </c>
      <c r="N195">
        <v>3</v>
      </c>
      <c r="O195">
        <v>12954.75</v>
      </c>
      <c r="P195">
        <v>12048.8</v>
      </c>
      <c r="Q195" s="15"/>
    </row>
    <row r="196" spans="1:17" x14ac:dyDescent="0.25">
      <c r="A196">
        <v>2018</v>
      </c>
      <c r="B196">
        <v>2020</v>
      </c>
      <c r="C196" t="s">
        <v>130</v>
      </c>
      <c r="D196">
        <v>43211</v>
      </c>
      <c r="E196">
        <v>43</v>
      </c>
      <c r="F196">
        <v>107</v>
      </c>
      <c r="G196">
        <v>88</v>
      </c>
      <c r="H196">
        <v>15</v>
      </c>
      <c r="I196">
        <v>1</v>
      </c>
      <c r="J196">
        <v>3</v>
      </c>
      <c r="K196">
        <v>0</v>
      </c>
      <c r="L196">
        <v>9</v>
      </c>
      <c r="M196">
        <v>8</v>
      </c>
      <c r="N196">
        <v>7</v>
      </c>
      <c r="O196">
        <v>8617.35</v>
      </c>
      <c r="P196">
        <v>7414.28</v>
      </c>
      <c r="Q196" s="15"/>
    </row>
    <row r="197" spans="1:17" x14ac:dyDescent="0.25">
      <c r="A197">
        <v>2018</v>
      </c>
      <c r="B197">
        <v>2020</v>
      </c>
      <c r="C197" t="s">
        <v>130</v>
      </c>
      <c r="D197">
        <v>45211</v>
      </c>
      <c r="E197">
        <v>45</v>
      </c>
      <c r="F197">
        <v>65</v>
      </c>
      <c r="G197">
        <v>52</v>
      </c>
      <c r="H197">
        <v>8</v>
      </c>
      <c r="I197">
        <v>0</v>
      </c>
      <c r="J197">
        <v>5</v>
      </c>
      <c r="K197">
        <v>0</v>
      </c>
      <c r="L197">
        <v>14</v>
      </c>
      <c r="M197">
        <v>12</v>
      </c>
      <c r="N197">
        <v>11</v>
      </c>
      <c r="O197">
        <v>15590.01</v>
      </c>
      <c r="P197">
        <v>10723.43</v>
      </c>
      <c r="Q197" s="15"/>
    </row>
    <row r="198" spans="1:17" x14ac:dyDescent="0.25">
      <c r="A198">
        <v>2018</v>
      </c>
      <c r="B198">
        <v>2020</v>
      </c>
      <c r="C198" t="s">
        <v>129</v>
      </c>
      <c r="D198">
        <v>42141</v>
      </c>
      <c r="E198">
        <v>42</v>
      </c>
      <c r="F198">
        <v>48</v>
      </c>
      <c r="G198">
        <v>41</v>
      </c>
      <c r="H198">
        <v>5</v>
      </c>
      <c r="I198">
        <v>1</v>
      </c>
      <c r="J198">
        <v>1</v>
      </c>
      <c r="K198">
        <v>0</v>
      </c>
      <c r="L198">
        <v>5</v>
      </c>
      <c r="M198">
        <v>5</v>
      </c>
      <c r="N198">
        <v>5</v>
      </c>
      <c r="O198">
        <v>10805.95</v>
      </c>
      <c r="P198">
        <v>9485.48</v>
      </c>
      <c r="Q198" s="15"/>
    </row>
    <row r="199" spans="1:17" x14ac:dyDescent="0.25">
      <c r="A199">
        <v>2018</v>
      </c>
      <c r="B199">
        <v>2020</v>
      </c>
      <c r="C199" t="s">
        <v>129</v>
      </c>
      <c r="D199">
        <v>42212</v>
      </c>
      <c r="E199">
        <v>42</v>
      </c>
      <c r="F199">
        <v>74</v>
      </c>
      <c r="G199">
        <v>60</v>
      </c>
      <c r="H199">
        <v>10</v>
      </c>
      <c r="I199">
        <v>0</v>
      </c>
      <c r="J199">
        <v>4</v>
      </c>
      <c r="K199">
        <v>2</v>
      </c>
      <c r="L199">
        <v>1</v>
      </c>
      <c r="M199">
        <v>1</v>
      </c>
      <c r="N199">
        <v>1</v>
      </c>
      <c r="O199">
        <v>13066.41</v>
      </c>
      <c r="P199">
        <v>12101.76</v>
      </c>
      <c r="Q199" s="15"/>
    </row>
    <row r="200" spans="1:17" x14ac:dyDescent="0.25">
      <c r="A200">
        <v>2018</v>
      </c>
      <c r="B200">
        <v>2020</v>
      </c>
      <c r="C200" t="s">
        <v>129</v>
      </c>
      <c r="D200">
        <v>47212</v>
      </c>
      <c r="E200">
        <v>47</v>
      </c>
      <c r="F200">
        <v>45</v>
      </c>
      <c r="G200">
        <v>39</v>
      </c>
      <c r="H200">
        <v>4</v>
      </c>
      <c r="I200">
        <v>0</v>
      </c>
      <c r="J200">
        <v>2</v>
      </c>
      <c r="K200">
        <v>0</v>
      </c>
      <c r="L200">
        <v>4</v>
      </c>
      <c r="M200">
        <v>3</v>
      </c>
      <c r="N200">
        <v>3</v>
      </c>
      <c r="O200">
        <v>17252.02</v>
      </c>
      <c r="P200">
        <v>16839.55</v>
      </c>
      <c r="Q200" s="15"/>
    </row>
    <row r="201" spans="1:17" x14ac:dyDescent="0.25">
      <c r="A201">
        <v>2018</v>
      </c>
      <c r="B201">
        <v>2020</v>
      </c>
      <c r="C201" t="s">
        <v>128</v>
      </c>
      <c r="D201">
        <v>43212</v>
      </c>
      <c r="E201">
        <v>43</v>
      </c>
      <c r="F201">
        <v>95</v>
      </c>
      <c r="G201">
        <v>74</v>
      </c>
      <c r="H201">
        <v>19</v>
      </c>
      <c r="I201">
        <v>1</v>
      </c>
      <c r="J201">
        <v>1</v>
      </c>
      <c r="K201">
        <v>0</v>
      </c>
      <c r="L201">
        <v>5</v>
      </c>
      <c r="M201">
        <v>5</v>
      </c>
      <c r="N201">
        <v>4</v>
      </c>
      <c r="O201">
        <v>12903.52</v>
      </c>
      <c r="P201">
        <v>10846.83</v>
      </c>
      <c r="Q201" s="15"/>
    </row>
    <row r="202" spans="1:17" x14ac:dyDescent="0.25">
      <c r="A202">
        <v>2018</v>
      </c>
      <c r="B202">
        <v>2020</v>
      </c>
      <c r="C202" t="s">
        <v>127</v>
      </c>
      <c r="D202">
        <v>42343</v>
      </c>
      <c r="E202">
        <v>42</v>
      </c>
      <c r="F202">
        <v>148</v>
      </c>
      <c r="G202">
        <v>118</v>
      </c>
      <c r="H202">
        <v>20</v>
      </c>
      <c r="I202">
        <v>0</v>
      </c>
      <c r="J202">
        <v>10</v>
      </c>
      <c r="K202">
        <v>0</v>
      </c>
      <c r="L202">
        <v>22</v>
      </c>
      <c r="M202">
        <v>18</v>
      </c>
      <c r="N202">
        <v>17</v>
      </c>
      <c r="O202">
        <v>21716.37</v>
      </c>
      <c r="P202">
        <v>18490.099999999999</v>
      </c>
      <c r="Q202" s="15"/>
    </row>
    <row r="203" spans="1:17" x14ac:dyDescent="0.25">
      <c r="A203">
        <v>2018</v>
      </c>
      <c r="B203">
        <v>2020</v>
      </c>
      <c r="C203" t="s">
        <v>127</v>
      </c>
      <c r="D203">
        <v>42345</v>
      </c>
      <c r="E203">
        <v>42</v>
      </c>
      <c r="F203">
        <v>73</v>
      </c>
      <c r="G203">
        <v>55</v>
      </c>
      <c r="H203">
        <v>7</v>
      </c>
      <c r="I203">
        <v>0</v>
      </c>
      <c r="J203">
        <v>11</v>
      </c>
      <c r="K203">
        <v>2</v>
      </c>
      <c r="L203">
        <v>14</v>
      </c>
      <c r="M203">
        <v>9</v>
      </c>
      <c r="N203">
        <v>9</v>
      </c>
      <c r="O203">
        <v>21249.73</v>
      </c>
      <c r="P203">
        <v>17138.490000000002</v>
      </c>
      <c r="Q203" s="15"/>
    </row>
    <row r="204" spans="1:17" x14ac:dyDescent="0.25">
      <c r="A204">
        <v>2018</v>
      </c>
      <c r="B204">
        <v>2020</v>
      </c>
      <c r="C204" t="s">
        <v>127</v>
      </c>
      <c r="D204">
        <v>47343</v>
      </c>
      <c r="E204">
        <v>47</v>
      </c>
      <c r="F204">
        <v>78</v>
      </c>
      <c r="G204">
        <v>69</v>
      </c>
      <c r="H204">
        <v>2</v>
      </c>
      <c r="I204">
        <v>2</v>
      </c>
      <c r="J204">
        <v>5</v>
      </c>
      <c r="K204">
        <v>3</v>
      </c>
      <c r="L204">
        <v>8</v>
      </c>
      <c r="M204">
        <v>6</v>
      </c>
      <c r="N204">
        <v>6</v>
      </c>
      <c r="O204">
        <v>26874.14</v>
      </c>
      <c r="P204">
        <v>25173.919999999998</v>
      </c>
      <c r="Q204" s="15"/>
    </row>
    <row r="205" spans="1:17" x14ac:dyDescent="0.25">
      <c r="A205">
        <v>2018</v>
      </c>
      <c r="B205">
        <v>2020</v>
      </c>
      <c r="C205" t="s">
        <v>127</v>
      </c>
      <c r="D205">
        <v>47345</v>
      </c>
      <c r="E205">
        <v>47</v>
      </c>
      <c r="F205">
        <v>54</v>
      </c>
      <c r="G205">
        <v>45</v>
      </c>
      <c r="H205">
        <v>4</v>
      </c>
      <c r="I205">
        <v>0</v>
      </c>
      <c r="J205">
        <v>5</v>
      </c>
      <c r="K205">
        <v>0</v>
      </c>
      <c r="L205">
        <v>12</v>
      </c>
      <c r="M205">
        <v>10</v>
      </c>
      <c r="N205">
        <v>9</v>
      </c>
      <c r="O205">
        <v>26501.29</v>
      </c>
      <c r="P205">
        <v>23202.53</v>
      </c>
      <c r="Q205" s="15"/>
    </row>
    <row r="206" spans="1:17" x14ac:dyDescent="0.25">
      <c r="A206">
        <v>2018</v>
      </c>
      <c r="B206">
        <v>2020</v>
      </c>
      <c r="C206" t="s">
        <v>126</v>
      </c>
      <c r="D206">
        <v>42525</v>
      </c>
      <c r="E206">
        <v>42</v>
      </c>
      <c r="F206">
        <v>70</v>
      </c>
      <c r="G206">
        <v>66</v>
      </c>
      <c r="H206">
        <v>0</v>
      </c>
      <c r="I206">
        <v>0</v>
      </c>
      <c r="J206">
        <v>4</v>
      </c>
      <c r="K206">
        <v>1</v>
      </c>
      <c r="L206">
        <v>2</v>
      </c>
      <c r="M206">
        <v>2</v>
      </c>
      <c r="N206">
        <v>2</v>
      </c>
      <c r="O206">
        <v>10133.75</v>
      </c>
      <c r="P206">
        <v>7713.69</v>
      </c>
      <c r="Q206" s="15"/>
    </row>
    <row r="207" spans="1:17" x14ac:dyDescent="0.25">
      <c r="A207">
        <v>2018</v>
      </c>
      <c r="B207">
        <v>2020</v>
      </c>
      <c r="C207" t="s">
        <v>125</v>
      </c>
      <c r="D207">
        <v>42863</v>
      </c>
      <c r="E207">
        <v>42</v>
      </c>
      <c r="F207">
        <v>33</v>
      </c>
      <c r="G207">
        <v>33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22069.32</v>
      </c>
      <c r="P207">
        <v>21546.11</v>
      </c>
      <c r="Q207" s="15"/>
    </row>
    <row r="208" spans="1:17" x14ac:dyDescent="0.25">
      <c r="A208">
        <v>2018</v>
      </c>
      <c r="B208">
        <v>2020</v>
      </c>
      <c r="C208" t="s">
        <v>124</v>
      </c>
      <c r="D208">
        <v>42345</v>
      </c>
      <c r="E208">
        <v>42</v>
      </c>
      <c r="F208">
        <v>56</v>
      </c>
      <c r="G208">
        <v>37</v>
      </c>
      <c r="H208">
        <v>10</v>
      </c>
      <c r="I208">
        <v>0</v>
      </c>
      <c r="J208">
        <v>9</v>
      </c>
      <c r="K208">
        <v>4</v>
      </c>
      <c r="L208">
        <v>6</v>
      </c>
      <c r="M208">
        <v>5</v>
      </c>
      <c r="N208">
        <v>3</v>
      </c>
      <c r="O208">
        <v>13587.7</v>
      </c>
      <c r="P208">
        <v>10674.75</v>
      </c>
      <c r="Q208" s="15"/>
    </row>
    <row r="209" spans="1:17" x14ac:dyDescent="0.25">
      <c r="A209">
        <v>2018</v>
      </c>
      <c r="B209">
        <v>2020</v>
      </c>
      <c r="C209" t="s">
        <v>124</v>
      </c>
      <c r="D209">
        <v>42380</v>
      </c>
      <c r="E209">
        <v>42</v>
      </c>
      <c r="F209">
        <v>95</v>
      </c>
      <c r="G209">
        <v>78</v>
      </c>
      <c r="H209">
        <v>13</v>
      </c>
      <c r="I209">
        <v>1</v>
      </c>
      <c r="J209">
        <v>3</v>
      </c>
      <c r="K209">
        <v>3</v>
      </c>
      <c r="L209">
        <v>12</v>
      </c>
      <c r="M209">
        <v>10</v>
      </c>
      <c r="N209">
        <v>6</v>
      </c>
      <c r="O209">
        <v>13982.95</v>
      </c>
      <c r="P209">
        <v>14026.41</v>
      </c>
      <c r="Q209" s="15"/>
    </row>
    <row r="210" spans="1:17" x14ac:dyDescent="0.25">
      <c r="A210">
        <v>2018</v>
      </c>
      <c r="B210">
        <v>2020</v>
      </c>
      <c r="C210" t="s">
        <v>124</v>
      </c>
      <c r="D210">
        <v>42762</v>
      </c>
      <c r="E210">
        <v>42</v>
      </c>
      <c r="F210">
        <v>53</v>
      </c>
      <c r="G210">
        <v>51</v>
      </c>
      <c r="H210">
        <v>2</v>
      </c>
      <c r="I210">
        <v>0</v>
      </c>
      <c r="J210">
        <v>0</v>
      </c>
      <c r="K210">
        <v>0</v>
      </c>
      <c r="L210">
        <v>4</v>
      </c>
      <c r="M210">
        <v>4</v>
      </c>
      <c r="N210">
        <v>1</v>
      </c>
      <c r="O210">
        <v>12769.5</v>
      </c>
      <c r="P210">
        <v>12083.02</v>
      </c>
      <c r="Q210" s="15"/>
    </row>
    <row r="211" spans="1:17" x14ac:dyDescent="0.25">
      <c r="A211">
        <v>2018</v>
      </c>
      <c r="B211">
        <v>2020</v>
      </c>
      <c r="C211" t="s">
        <v>124</v>
      </c>
      <c r="D211">
        <v>47380</v>
      </c>
      <c r="E211">
        <v>47</v>
      </c>
      <c r="F211">
        <v>36</v>
      </c>
      <c r="G211">
        <v>31</v>
      </c>
      <c r="H211">
        <v>3</v>
      </c>
      <c r="I211">
        <v>1</v>
      </c>
      <c r="J211">
        <v>1</v>
      </c>
      <c r="K211">
        <v>0</v>
      </c>
      <c r="L211">
        <v>11</v>
      </c>
      <c r="M211">
        <v>6</v>
      </c>
      <c r="N211">
        <v>6</v>
      </c>
      <c r="O211">
        <v>23322.93</v>
      </c>
      <c r="P211">
        <v>17291.439999999999</v>
      </c>
      <c r="Q211" s="15"/>
    </row>
    <row r="212" spans="1:17" x14ac:dyDescent="0.25">
      <c r="A212">
        <v>2018</v>
      </c>
      <c r="B212">
        <v>2020</v>
      </c>
      <c r="C212" t="s">
        <v>124</v>
      </c>
      <c r="D212">
        <v>47762</v>
      </c>
      <c r="E212">
        <v>47</v>
      </c>
      <c r="F212">
        <v>38</v>
      </c>
      <c r="G212">
        <v>35</v>
      </c>
      <c r="H212">
        <v>3</v>
      </c>
      <c r="I212">
        <v>0</v>
      </c>
      <c r="J212">
        <v>0</v>
      </c>
      <c r="K212">
        <v>0</v>
      </c>
      <c r="L212">
        <v>2</v>
      </c>
      <c r="M212">
        <v>2</v>
      </c>
      <c r="N212">
        <v>1</v>
      </c>
      <c r="O212">
        <v>12698.48</v>
      </c>
      <c r="P212">
        <v>11815.54</v>
      </c>
      <c r="Q212" s="15"/>
    </row>
    <row r="213" spans="1:17" x14ac:dyDescent="0.25">
      <c r="A213">
        <v>2018</v>
      </c>
      <c r="B213">
        <v>2020</v>
      </c>
      <c r="C213" t="s">
        <v>123</v>
      </c>
      <c r="D213">
        <v>42345</v>
      </c>
      <c r="E213">
        <v>42</v>
      </c>
      <c r="F213">
        <v>81</v>
      </c>
      <c r="G213">
        <v>37</v>
      </c>
      <c r="H213">
        <v>18</v>
      </c>
      <c r="I213">
        <v>5</v>
      </c>
      <c r="J213">
        <v>21</v>
      </c>
      <c r="K213">
        <v>10</v>
      </c>
      <c r="L213">
        <v>13</v>
      </c>
      <c r="M213">
        <v>8</v>
      </c>
      <c r="N213">
        <v>8</v>
      </c>
      <c r="O213">
        <v>18450.830000000002</v>
      </c>
      <c r="P213">
        <v>11757.71</v>
      </c>
      <c r="Q213" s="15"/>
    </row>
    <row r="214" spans="1:17" x14ac:dyDescent="0.25">
      <c r="A214">
        <v>2018</v>
      </c>
      <c r="B214">
        <v>2020</v>
      </c>
      <c r="C214" t="s">
        <v>122</v>
      </c>
      <c r="D214">
        <v>41344</v>
      </c>
      <c r="E214">
        <v>41</v>
      </c>
      <c r="F214">
        <v>43</v>
      </c>
      <c r="G214">
        <v>35</v>
      </c>
      <c r="H214">
        <v>7</v>
      </c>
      <c r="I214">
        <v>0</v>
      </c>
      <c r="J214">
        <v>1</v>
      </c>
      <c r="K214">
        <v>1</v>
      </c>
      <c r="L214">
        <v>6</v>
      </c>
      <c r="M214">
        <v>4</v>
      </c>
      <c r="N214">
        <v>4</v>
      </c>
      <c r="O214">
        <v>14062.72</v>
      </c>
      <c r="P214">
        <v>14000.51</v>
      </c>
      <c r="Q214" s="15"/>
    </row>
    <row r="215" spans="1:17" x14ac:dyDescent="0.25">
      <c r="A215">
        <v>2018</v>
      </c>
      <c r="B215">
        <v>2020</v>
      </c>
      <c r="C215" t="s">
        <v>122</v>
      </c>
      <c r="D215">
        <v>41380</v>
      </c>
      <c r="E215">
        <v>41</v>
      </c>
      <c r="F215">
        <v>43</v>
      </c>
      <c r="G215">
        <v>36</v>
      </c>
      <c r="H215">
        <v>5</v>
      </c>
      <c r="I215">
        <v>0</v>
      </c>
      <c r="J215">
        <v>2</v>
      </c>
      <c r="K215">
        <v>0</v>
      </c>
      <c r="L215">
        <v>6</v>
      </c>
      <c r="M215">
        <v>5</v>
      </c>
      <c r="N215">
        <v>4</v>
      </c>
      <c r="O215">
        <v>15171.9</v>
      </c>
      <c r="P215">
        <v>14847.85</v>
      </c>
      <c r="Q215" s="15"/>
    </row>
    <row r="216" spans="1:17" x14ac:dyDescent="0.25">
      <c r="A216">
        <v>2018</v>
      </c>
      <c r="B216">
        <v>2020</v>
      </c>
      <c r="C216" t="s">
        <v>122</v>
      </c>
      <c r="D216">
        <v>42345</v>
      </c>
      <c r="E216">
        <v>42</v>
      </c>
      <c r="F216">
        <v>73</v>
      </c>
      <c r="G216">
        <v>47</v>
      </c>
      <c r="H216">
        <v>12</v>
      </c>
      <c r="I216">
        <v>1</v>
      </c>
      <c r="J216">
        <v>13</v>
      </c>
      <c r="K216">
        <v>6</v>
      </c>
      <c r="L216">
        <v>30</v>
      </c>
      <c r="M216">
        <v>21</v>
      </c>
      <c r="N216">
        <v>21</v>
      </c>
      <c r="O216">
        <v>23606.880000000001</v>
      </c>
      <c r="P216">
        <v>16663.509999999998</v>
      </c>
      <c r="Q216" s="15"/>
    </row>
    <row r="217" spans="1:17" x14ac:dyDescent="0.25">
      <c r="A217">
        <v>2018</v>
      </c>
      <c r="B217">
        <v>2020</v>
      </c>
      <c r="C217" t="s">
        <v>122</v>
      </c>
      <c r="D217">
        <v>42380</v>
      </c>
      <c r="E217">
        <v>42</v>
      </c>
      <c r="F217">
        <v>46</v>
      </c>
      <c r="G217">
        <v>41</v>
      </c>
      <c r="H217">
        <v>4</v>
      </c>
      <c r="I217">
        <v>0</v>
      </c>
      <c r="J217">
        <v>1</v>
      </c>
      <c r="K217">
        <v>0</v>
      </c>
      <c r="L217">
        <v>13</v>
      </c>
      <c r="M217">
        <v>10</v>
      </c>
      <c r="N217">
        <v>9</v>
      </c>
      <c r="O217">
        <v>18905.38</v>
      </c>
      <c r="P217">
        <v>15782.32</v>
      </c>
      <c r="Q217" s="15"/>
    </row>
    <row r="218" spans="1:17" x14ac:dyDescent="0.25">
      <c r="A218">
        <v>2018</v>
      </c>
      <c r="B218">
        <v>2020</v>
      </c>
      <c r="C218" t="s">
        <v>122</v>
      </c>
      <c r="D218">
        <v>42812</v>
      </c>
      <c r="E218">
        <v>42</v>
      </c>
      <c r="F218">
        <v>69</v>
      </c>
      <c r="G218">
        <v>41</v>
      </c>
      <c r="H218">
        <v>16</v>
      </c>
      <c r="I218">
        <v>2</v>
      </c>
      <c r="J218">
        <v>10</v>
      </c>
      <c r="K218">
        <v>3</v>
      </c>
      <c r="L218">
        <v>8</v>
      </c>
      <c r="M218">
        <v>7</v>
      </c>
      <c r="N218">
        <v>6</v>
      </c>
      <c r="O218">
        <v>9605.6200000000008</v>
      </c>
      <c r="P218">
        <v>8707.49</v>
      </c>
      <c r="Q218" s="15"/>
    </row>
    <row r="219" spans="1:17" x14ac:dyDescent="0.25">
      <c r="A219">
        <v>2018</v>
      </c>
      <c r="B219">
        <v>2020</v>
      </c>
      <c r="C219" t="s">
        <v>122</v>
      </c>
      <c r="D219">
        <v>47345</v>
      </c>
      <c r="E219">
        <v>47</v>
      </c>
      <c r="F219">
        <v>100</v>
      </c>
      <c r="G219">
        <v>59</v>
      </c>
      <c r="H219">
        <v>8</v>
      </c>
      <c r="I219">
        <v>9</v>
      </c>
      <c r="J219">
        <v>24</v>
      </c>
      <c r="K219">
        <v>19</v>
      </c>
      <c r="L219">
        <v>26</v>
      </c>
      <c r="M219">
        <v>16</v>
      </c>
      <c r="N219">
        <v>16</v>
      </c>
      <c r="O219">
        <v>32235.85</v>
      </c>
      <c r="P219">
        <v>22483.4</v>
      </c>
      <c r="Q219" s="15"/>
    </row>
    <row r="220" spans="1:17" x14ac:dyDescent="0.25">
      <c r="A220">
        <v>2018</v>
      </c>
      <c r="B220">
        <v>2020</v>
      </c>
      <c r="C220" t="s">
        <v>122</v>
      </c>
      <c r="D220">
        <v>47380</v>
      </c>
      <c r="E220">
        <v>47</v>
      </c>
      <c r="F220">
        <v>52</v>
      </c>
      <c r="G220">
        <v>48</v>
      </c>
      <c r="H220">
        <v>2</v>
      </c>
      <c r="I220">
        <v>0</v>
      </c>
      <c r="J220">
        <v>2</v>
      </c>
      <c r="K220">
        <v>0</v>
      </c>
      <c r="L220">
        <v>10</v>
      </c>
      <c r="M220">
        <v>8</v>
      </c>
      <c r="N220">
        <v>8</v>
      </c>
      <c r="O220">
        <v>19185.259999999998</v>
      </c>
      <c r="P220">
        <v>17335.2</v>
      </c>
      <c r="Q220" s="15"/>
    </row>
    <row r="221" spans="1:17" x14ac:dyDescent="0.25">
      <c r="A221">
        <v>2018</v>
      </c>
      <c r="B221">
        <v>2020</v>
      </c>
      <c r="C221" t="s">
        <v>121</v>
      </c>
      <c r="D221">
        <v>42344</v>
      </c>
      <c r="E221">
        <v>42</v>
      </c>
      <c r="F221">
        <v>40</v>
      </c>
      <c r="G221">
        <v>40</v>
      </c>
      <c r="H221">
        <v>0</v>
      </c>
      <c r="I221">
        <v>0</v>
      </c>
      <c r="J221">
        <v>0</v>
      </c>
      <c r="K221">
        <v>0</v>
      </c>
      <c r="L221">
        <v>5</v>
      </c>
      <c r="M221">
        <v>4</v>
      </c>
      <c r="N221">
        <v>4</v>
      </c>
      <c r="O221">
        <v>17195.8</v>
      </c>
      <c r="P221">
        <v>16523.099999999999</v>
      </c>
      <c r="Q221" s="15"/>
    </row>
    <row r="222" spans="1:17" x14ac:dyDescent="0.25">
      <c r="A222">
        <v>2018</v>
      </c>
      <c r="B222">
        <v>2020</v>
      </c>
      <c r="C222" t="s">
        <v>140</v>
      </c>
      <c r="D222">
        <v>42840</v>
      </c>
      <c r="E222">
        <v>42</v>
      </c>
      <c r="F222">
        <v>61</v>
      </c>
      <c r="G222">
        <v>34</v>
      </c>
      <c r="H222">
        <v>8</v>
      </c>
      <c r="I222">
        <v>0</v>
      </c>
      <c r="J222">
        <v>19</v>
      </c>
      <c r="K222">
        <v>3</v>
      </c>
      <c r="L222">
        <v>6</v>
      </c>
      <c r="M222">
        <v>6</v>
      </c>
      <c r="N222">
        <v>5</v>
      </c>
      <c r="O222">
        <v>19595.43</v>
      </c>
      <c r="P222">
        <v>17969.259999999998</v>
      </c>
      <c r="Q222" s="15"/>
    </row>
    <row r="223" spans="1:17" x14ac:dyDescent="0.25">
      <c r="A223">
        <v>2018</v>
      </c>
      <c r="B223">
        <v>2020</v>
      </c>
      <c r="C223" t="s">
        <v>120</v>
      </c>
      <c r="D223">
        <v>42840</v>
      </c>
      <c r="E223">
        <v>42</v>
      </c>
      <c r="F223">
        <v>121</v>
      </c>
      <c r="G223">
        <v>89</v>
      </c>
      <c r="H223">
        <v>21</v>
      </c>
      <c r="I223">
        <v>2</v>
      </c>
      <c r="J223">
        <v>9</v>
      </c>
      <c r="K223">
        <v>9</v>
      </c>
      <c r="L223">
        <v>7</v>
      </c>
      <c r="M223">
        <v>6</v>
      </c>
      <c r="N223">
        <v>5</v>
      </c>
      <c r="O223">
        <v>16376.01</v>
      </c>
      <c r="P223">
        <v>14325.23</v>
      </c>
      <c r="Q223" s="15"/>
    </row>
    <row r="224" spans="1:17" x14ac:dyDescent="0.25">
      <c r="A224">
        <v>2018</v>
      </c>
      <c r="B224">
        <v>2020</v>
      </c>
      <c r="C224" t="s">
        <v>120</v>
      </c>
      <c r="D224">
        <v>43345</v>
      </c>
      <c r="E224">
        <v>43</v>
      </c>
      <c r="F224">
        <v>55</v>
      </c>
      <c r="G224">
        <v>37</v>
      </c>
      <c r="H224">
        <v>13</v>
      </c>
      <c r="I224">
        <v>3</v>
      </c>
      <c r="J224">
        <v>2</v>
      </c>
      <c r="K224">
        <v>7</v>
      </c>
      <c r="L224">
        <v>1</v>
      </c>
      <c r="M224">
        <v>1</v>
      </c>
      <c r="N224">
        <v>1</v>
      </c>
      <c r="O224">
        <v>13848.58</v>
      </c>
      <c r="P224">
        <v>12775.78</v>
      </c>
      <c r="Q224" s="15"/>
    </row>
    <row r="225" spans="1:17" x14ac:dyDescent="0.25">
      <c r="A225">
        <v>2018</v>
      </c>
      <c r="B225">
        <v>2020</v>
      </c>
      <c r="C225" t="s">
        <v>120</v>
      </c>
      <c r="D225">
        <v>43481</v>
      </c>
      <c r="E225">
        <v>43</v>
      </c>
      <c r="F225">
        <v>43</v>
      </c>
      <c r="G225">
        <v>37</v>
      </c>
      <c r="H225">
        <v>2</v>
      </c>
      <c r="I225">
        <v>2</v>
      </c>
      <c r="J225">
        <v>2</v>
      </c>
      <c r="K225">
        <v>4</v>
      </c>
      <c r="L225">
        <v>2</v>
      </c>
      <c r="M225">
        <v>2</v>
      </c>
      <c r="N225">
        <v>2</v>
      </c>
      <c r="O225">
        <v>25305.8</v>
      </c>
      <c r="P225">
        <v>24989.98</v>
      </c>
      <c r="Q225" s="15"/>
    </row>
    <row r="226" spans="1:17" x14ac:dyDescent="0.25">
      <c r="A226">
        <v>2018</v>
      </c>
      <c r="B226">
        <v>2020</v>
      </c>
      <c r="C226" t="s">
        <v>119</v>
      </c>
      <c r="D226">
        <v>42213</v>
      </c>
      <c r="E226">
        <v>42</v>
      </c>
      <c r="F226">
        <v>48</v>
      </c>
      <c r="G226">
        <v>35</v>
      </c>
      <c r="H226">
        <v>8</v>
      </c>
      <c r="I226">
        <v>0</v>
      </c>
      <c r="J226">
        <v>5</v>
      </c>
      <c r="K226">
        <v>2</v>
      </c>
      <c r="L226">
        <v>2</v>
      </c>
      <c r="M226">
        <v>2</v>
      </c>
      <c r="N226">
        <v>2</v>
      </c>
      <c r="O226">
        <v>9689.83</v>
      </c>
      <c r="P226">
        <v>7648.33</v>
      </c>
      <c r="Q226" s="15"/>
    </row>
    <row r="227" spans="1:17" x14ac:dyDescent="0.25">
      <c r="A227">
        <v>2018</v>
      </c>
      <c r="B227">
        <v>2020</v>
      </c>
      <c r="C227" t="s">
        <v>119</v>
      </c>
      <c r="D227">
        <v>42345</v>
      </c>
      <c r="E227">
        <v>42</v>
      </c>
      <c r="F227">
        <v>103</v>
      </c>
      <c r="G227">
        <v>50</v>
      </c>
      <c r="H227">
        <v>17</v>
      </c>
      <c r="I227">
        <v>4</v>
      </c>
      <c r="J227">
        <v>32</v>
      </c>
      <c r="K227">
        <v>9</v>
      </c>
      <c r="L227">
        <v>20</v>
      </c>
      <c r="M227">
        <v>18</v>
      </c>
      <c r="N227">
        <v>17</v>
      </c>
      <c r="O227">
        <v>15722.81</v>
      </c>
      <c r="P227">
        <v>13248.58</v>
      </c>
      <c r="Q227" s="15"/>
    </row>
    <row r="228" spans="1:17" x14ac:dyDescent="0.25">
      <c r="A228">
        <v>2018</v>
      </c>
      <c r="B228">
        <v>2020</v>
      </c>
      <c r="C228" t="s">
        <v>119</v>
      </c>
      <c r="D228">
        <v>43345</v>
      </c>
      <c r="E228">
        <v>43</v>
      </c>
      <c r="F228">
        <v>87</v>
      </c>
      <c r="G228">
        <v>51</v>
      </c>
      <c r="H228">
        <v>22</v>
      </c>
      <c r="I228">
        <v>2</v>
      </c>
      <c r="J228">
        <v>12</v>
      </c>
      <c r="K228">
        <v>4</v>
      </c>
      <c r="L228">
        <v>24</v>
      </c>
      <c r="M228">
        <v>14</v>
      </c>
      <c r="N228">
        <v>13</v>
      </c>
      <c r="O228">
        <v>16181.04</v>
      </c>
      <c r="P228">
        <v>14794.2</v>
      </c>
      <c r="Q228" s="15"/>
    </row>
    <row r="229" spans="1:17" x14ac:dyDescent="0.25">
      <c r="A229">
        <v>2018</v>
      </c>
      <c r="B229">
        <v>2020</v>
      </c>
      <c r="C229" t="s">
        <v>119</v>
      </c>
      <c r="D229">
        <v>47345</v>
      </c>
      <c r="E229">
        <v>47</v>
      </c>
      <c r="F229">
        <v>118</v>
      </c>
      <c r="G229">
        <v>95</v>
      </c>
      <c r="H229">
        <v>12</v>
      </c>
      <c r="I229">
        <v>1</v>
      </c>
      <c r="J229">
        <v>10</v>
      </c>
      <c r="K229">
        <v>3</v>
      </c>
      <c r="L229">
        <v>34</v>
      </c>
      <c r="M229">
        <v>24</v>
      </c>
      <c r="N229">
        <v>23</v>
      </c>
      <c r="O229">
        <v>25378.49</v>
      </c>
      <c r="P229">
        <v>22567.37</v>
      </c>
      <c r="Q229" s="15"/>
    </row>
    <row r="230" spans="1:17" x14ac:dyDescent="0.25">
      <c r="A230">
        <v>2018</v>
      </c>
      <c r="B230">
        <v>2020</v>
      </c>
      <c r="C230" t="s">
        <v>118</v>
      </c>
      <c r="D230">
        <v>43310</v>
      </c>
      <c r="E230">
        <v>43</v>
      </c>
      <c r="F230">
        <v>100</v>
      </c>
      <c r="G230">
        <v>55</v>
      </c>
      <c r="H230">
        <v>10</v>
      </c>
      <c r="I230">
        <v>0</v>
      </c>
      <c r="J230">
        <v>35</v>
      </c>
      <c r="K230">
        <v>10</v>
      </c>
      <c r="L230">
        <v>11</v>
      </c>
      <c r="M230">
        <v>10</v>
      </c>
      <c r="N230">
        <v>10</v>
      </c>
      <c r="O230">
        <v>29336.55</v>
      </c>
      <c r="P230">
        <v>23314.240000000002</v>
      </c>
      <c r="Q230" s="15"/>
    </row>
    <row r="231" spans="1:17" x14ac:dyDescent="0.25">
      <c r="A231">
        <v>2018</v>
      </c>
      <c r="B231">
        <v>2020</v>
      </c>
      <c r="C231" t="s">
        <v>101</v>
      </c>
      <c r="D231">
        <v>41582</v>
      </c>
      <c r="E231">
        <v>41</v>
      </c>
      <c r="F231">
        <v>79</v>
      </c>
      <c r="G231">
        <v>69</v>
      </c>
      <c r="H231">
        <v>8</v>
      </c>
      <c r="I231">
        <v>0</v>
      </c>
      <c r="J231">
        <v>2</v>
      </c>
      <c r="K231">
        <v>0</v>
      </c>
      <c r="L231">
        <v>28</v>
      </c>
      <c r="M231">
        <v>22</v>
      </c>
      <c r="N231">
        <v>22</v>
      </c>
      <c r="O231">
        <v>27054.97</v>
      </c>
      <c r="P231">
        <v>21496.9</v>
      </c>
      <c r="Q231" s="15"/>
    </row>
    <row r="232" spans="1:17" x14ac:dyDescent="0.25">
      <c r="A232">
        <v>2018</v>
      </c>
      <c r="B232">
        <v>2020</v>
      </c>
      <c r="C232" t="s">
        <v>117</v>
      </c>
      <c r="D232">
        <v>41522</v>
      </c>
      <c r="E232">
        <v>41</v>
      </c>
      <c r="F232">
        <v>45</v>
      </c>
      <c r="G232">
        <v>42</v>
      </c>
      <c r="H232">
        <v>2</v>
      </c>
      <c r="I232">
        <v>1</v>
      </c>
      <c r="J232">
        <v>0</v>
      </c>
      <c r="K232">
        <v>1</v>
      </c>
      <c r="L232">
        <v>9</v>
      </c>
      <c r="M232">
        <v>7</v>
      </c>
      <c r="N232">
        <v>7</v>
      </c>
      <c r="O232">
        <v>22188.28</v>
      </c>
      <c r="P232">
        <v>20821.59</v>
      </c>
      <c r="Q232" s="15"/>
    </row>
    <row r="233" spans="1:17" x14ac:dyDescent="0.25">
      <c r="A233">
        <v>2018</v>
      </c>
      <c r="B233">
        <v>2020</v>
      </c>
      <c r="C233" t="s">
        <v>116</v>
      </c>
      <c r="D233">
        <v>41721</v>
      </c>
      <c r="E233">
        <v>41</v>
      </c>
      <c r="F233">
        <v>125</v>
      </c>
      <c r="G233">
        <v>121</v>
      </c>
      <c r="H233">
        <v>3</v>
      </c>
      <c r="I233">
        <v>0</v>
      </c>
      <c r="J233">
        <v>1</v>
      </c>
      <c r="K233">
        <v>0</v>
      </c>
      <c r="L233">
        <v>2</v>
      </c>
      <c r="M233">
        <v>2</v>
      </c>
      <c r="N233">
        <v>1</v>
      </c>
      <c r="O233">
        <v>28766.83</v>
      </c>
      <c r="P233">
        <v>29153.93</v>
      </c>
      <c r="Q233" s="15"/>
    </row>
    <row r="234" spans="1:17" x14ac:dyDescent="0.25">
      <c r="A234">
        <v>2018</v>
      </c>
      <c r="B234">
        <v>2020</v>
      </c>
      <c r="C234" t="s">
        <v>116</v>
      </c>
      <c r="D234">
        <v>41723</v>
      </c>
      <c r="E234">
        <v>41</v>
      </c>
      <c r="F234">
        <v>88</v>
      </c>
      <c r="G234">
        <v>81</v>
      </c>
      <c r="H234">
        <v>6</v>
      </c>
      <c r="I234">
        <v>0</v>
      </c>
      <c r="J234">
        <v>1</v>
      </c>
      <c r="K234">
        <v>1</v>
      </c>
      <c r="L234">
        <v>5</v>
      </c>
      <c r="M234">
        <v>5</v>
      </c>
      <c r="N234">
        <v>5</v>
      </c>
      <c r="O234">
        <v>16677.759999999998</v>
      </c>
      <c r="P234">
        <v>14362.97</v>
      </c>
      <c r="Q234" s="15"/>
    </row>
    <row r="235" spans="1:17" x14ac:dyDescent="0.25">
      <c r="A235">
        <v>2018</v>
      </c>
      <c r="B235">
        <v>2020</v>
      </c>
      <c r="C235" t="s">
        <v>115</v>
      </c>
      <c r="D235">
        <v>41721</v>
      </c>
      <c r="E235">
        <v>41</v>
      </c>
      <c r="F235">
        <v>48</v>
      </c>
      <c r="G235">
        <v>45</v>
      </c>
      <c r="H235">
        <v>1</v>
      </c>
      <c r="I235">
        <v>2</v>
      </c>
      <c r="J235">
        <v>0</v>
      </c>
      <c r="K235">
        <v>2</v>
      </c>
      <c r="L235">
        <v>2</v>
      </c>
      <c r="M235">
        <v>2</v>
      </c>
      <c r="N235">
        <v>1</v>
      </c>
      <c r="O235">
        <v>18401.09</v>
      </c>
      <c r="P235">
        <v>18358.400000000001</v>
      </c>
      <c r="Q235" s="15"/>
    </row>
    <row r="236" spans="1:17" x14ac:dyDescent="0.25">
      <c r="A236">
        <v>2018</v>
      </c>
      <c r="B236">
        <v>2020</v>
      </c>
      <c r="C236" t="s">
        <v>115</v>
      </c>
      <c r="D236">
        <v>41725</v>
      </c>
      <c r="E236">
        <v>41</v>
      </c>
      <c r="F236">
        <v>100</v>
      </c>
      <c r="G236">
        <v>95</v>
      </c>
      <c r="H236">
        <v>4</v>
      </c>
      <c r="I236">
        <v>0</v>
      </c>
      <c r="J236">
        <v>1</v>
      </c>
      <c r="K236">
        <v>0</v>
      </c>
      <c r="L236">
        <v>3</v>
      </c>
      <c r="M236">
        <v>2</v>
      </c>
      <c r="N236">
        <v>2</v>
      </c>
      <c r="O236">
        <v>17094.490000000002</v>
      </c>
      <c r="P236">
        <v>16778.8</v>
      </c>
      <c r="Q236" s="15"/>
    </row>
    <row r="237" spans="1:17" x14ac:dyDescent="0.25">
      <c r="A237">
        <v>2018</v>
      </c>
      <c r="B237">
        <v>2020</v>
      </c>
      <c r="C237" t="s">
        <v>114</v>
      </c>
      <c r="D237">
        <v>41345</v>
      </c>
      <c r="E237">
        <v>41</v>
      </c>
      <c r="F237">
        <v>70</v>
      </c>
      <c r="G237">
        <v>51</v>
      </c>
      <c r="H237">
        <v>18</v>
      </c>
      <c r="I237">
        <v>0</v>
      </c>
      <c r="J237">
        <v>1</v>
      </c>
      <c r="K237">
        <v>0</v>
      </c>
      <c r="L237">
        <v>7</v>
      </c>
      <c r="M237">
        <v>7</v>
      </c>
      <c r="N237">
        <v>5</v>
      </c>
      <c r="O237">
        <v>9951</v>
      </c>
      <c r="P237">
        <v>10204.35</v>
      </c>
      <c r="Q237" s="15"/>
    </row>
    <row r="238" spans="1:17" x14ac:dyDescent="0.25">
      <c r="A238">
        <v>2018</v>
      </c>
      <c r="B238">
        <v>2020</v>
      </c>
      <c r="C238" t="s">
        <v>113</v>
      </c>
      <c r="D238">
        <v>41861</v>
      </c>
      <c r="E238">
        <v>41</v>
      </c>
      <c r="F238">
        <v>33</v>
      </c>
      <c r="G238">
        <v>33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2</v>
      </c>
      <c r="N238">
        <v>1</v>
      </c>
      <c r="O238">
        <v>20342.79</v>
      </c>
      <c r="P238">
        <v>19401.38</v>
      </c>
      <c r="Q238" s="15"/>
    </row>
    <row r="239" spans="1:17" x14ac:dyDescent="0.25">
      <c r="A239">
        <v>2018</v>
      </c>
      <c r="B239">
        <v>2020</v>
      </c>
      <c r="C239" t="s">
        <v>104</v>
      </c>
      <c r="D239">
        <v>41861</v>
      </c>
      <c r="E239">
        <v>41</v>
      </c>
      <c r="F239">
        <v>89</v>
      </c>
      <c r="G239">
        <v>79</v>
      </c>
      <c r="H239">
        <v>7</v>
      </c>
      <c r="I239">
        <v>1</v>
      </c>
      <c r="J239">
        <v>2</v>
      </c>
      <c r="K239">
        <v>0</v>
      </c>
      <c r="L239">
        <v>3</v>
      </c>
      <c r="M239">
        <v>3</v>
      </c>
      <c r="N239">
        <v>1</v>
      </c>
      <c r="O239">
        <v>19022.02</v>
      </c>
      <c r="P239">
        <v>18490.09</v>
      </c>
      <c r="Q239" s="15"/>
    </row>
    <row r="240" spans="1:17" x14ac:dyDescent="0.25">
      <c r="A240">
        <v>2018</v>
      </c>
      <c r="B240">
        <v>2020</v>
      </c>
      <c r="C240" t="s">
        <v>103</v>
      </c>
      <c r="D240">
        <v>41721</v>
      </c>
      <c r="E240">
        <v>41</v>
      </c>
      <c r="F240">
        <v>84</v>
      </c>
      <c r="G240">
        <v>79</v>
      </c>
      <c r="H240">
        <v>4</v>
      </c>
      <c r="I240">
        <v>1</v>
      </c>
      <c r="J240">
        <v>0</v>
      </c>
      <c r="K240">
        <v>2</v>
      </c>
      <c r="L240">
        <v>6</v>
      </c>
      <c r="M240">
        <v>6</v>
      </c>
      <c r="N240">
        <v>4</v>
      </c>
      <c r="O240">
        <v>24805.71</v>
      </c>
      <c r="P240">
        <v>23488.07</v>
      </c>
      <c r="Q240" s="15"/>
    </row>
    <row r="241" spans="1:17" x14ac:dyDescent="0.25">
      <c r="A241">
        <v>2018</v>
      </c>
      <c r="B241">
        <v>2020</v>
      </c>
      <c r="C241" t="s">
        <v>103</v>
      </c>
      <c r="D241">
        <v>41723</v>
      </c>
      <c r="E241">
        <v>41</v>
      </c>
      <c r="F241">
        <v>59</v>
      </c>
      <c r="G241">
        <v>54</v>
      </c>
      <c r="H241">
        <v>5</v>
      </c>
      <c r="I241">
        <v>0</v>
      </c>
      <c r="J241">
        <v>0</v>
      </c>
      <c r="K241">
        <v>0</v>
      </c>
      <c r="L241">
        <v>4</v>
      </c>
      <c r="M241">
        <v>4</v>
      </c>
      <c r="N241">
        <v>3</v>
      </c>
      <c r="O241">
        <v>16287.74</v>
      </c>
      <c r="P241">
        <v>15850.44</v>
      </c>
      <c r="Q241" s="15"/>
    </row>
    <row r="242" spans="1:17" x14ac:dyDescent="0.25">
      <c r="A242">
        <v>2018</v>
      </c>
      <c r="B242">
        <v>2020</v>
      </c>
      <c r="C242" t="s">
        <v>112</v>
      </c>
      <c r="D242">
        <v>41345</v>
      </c>
      <c r="E242">
        <v>41</v>
      </c>
      <c r="F242">
        <v>56</v>
      </c>
      <c r="G242">
        <v>49</v>
      </c>
      <c r="H242">
        <v>6</v>
      </c>
      <c r="I242">
        <v>0</v>
      </c>
      <c r="J242">
        <v>1</v>
      </c>
      <c r="K242">
        <v>0</v>
      </c>
      <c r="L242">
        <v>5</v>
      </c>
      <c r="M242">
        <v>5</v>
      </c>
      <c r="N242">
        <v>5</v>
      </c>
      <c r="O242">
        <v>19398.169999999998</v>
      </c>
      <c r="P242">
        <v>17444.97</v>
      </c>
      <c r="Q242" s="15"/>
    </row>
    <row r="243" spans="1:17" x14ac:dyDescent="0.25">
      <c r="A243">
        <v>2018</v>
      </c>
      <c r="B243">
        <v>2020</v>
      </c>
      <c r="C243" t="s">
        <v>112</v>
      </c>
      <c r="D243">
        <v>41380</v>
      </c>
      <c r="E243">
        <v>41</v>
      </c>
      <c r="F243">
        <v>121</v>
      </c>
      <c r="G243">
        <v>113</v>
      </c>
      <c r="H243">
        <v>7</v>
      </c>
      <c r="I243">
        <v>0</v>
      </c>
      <c r="J243">
        <v>1</v>
      </c>
      <c r="K243">
        <v>1</v>
      </c>
      <c r="L243">
        <v>5</v>
      </c>
      <c r="M243">
        <v>5</v>
      </c>
      <c r="N243">
        <v>5</v>
      </c>
      <c r="O243">
        <v>16609.7</v>
      </c>
      <c r="P243">
        <v>15347.88</v>
      </c>
      <c r="Q243" s="15"/>
    </row>
    <row r="244" spans="1:17" x14ac:dyDescent="0.25">
      <c r="A244">
        <v>2018</v>
      </c>
      <c r="B244">
        <v>2020</v>
      </c>
      <c r="C244" t="s">
        <v>111</v>
      </c>
      <c r="D244">
        <v>41345</v>
      </c>
      <c r="E244">
        <v>41</v>
      </c>
      <c r="F244">
        <v>56</v>
      </c>
      <c r="G244">
        <v>44</v>
      </c>
      <c r="H244">
        <v>8</v>
      </c>
      <c r="I244">
        <v>1</v>
      </c>
      <c r="J244">
        <v>3</v>
      </c>
      <c r="K244">
        <v>1</v>
      </c>
      <c r="L244">
        <v>5</v>
      </c>
      <c r="M244">
        <v>5</v>
      </c>
      <c r="N244">
        <v>5</v>
      </c>
      <c r="O244">
        <v>15534.57</v>
      </c>
      <c r="P244">
        <v>13427.11</v>
      </c>
      <c r="Q244" s="15"/>
    </row>
    <row r="245" spans="1:17" x14ac:dyDescent="0.25">
      <c r="A245">
        <v>2018</v>
      </c>
      <c r="B245">
        <v>2020</v>
      </c>
      <c r="C245" t="s">
        <v>110</v>
      </c>
      <c r="D245">
        <v>41345</v>
      </c>
      <c r="E245">
        <v>41</v>
      </c>
      <c r="F245">
        <v>61</v>
      </c>
      <c r="G245">
        <v>41</v>
      </c>
      <c r="H245">
        <v>8</v>
      </c>
      <c r="I245">
        <v>0</v>
      </c>
      <c r="J245">
        <v>12</v>
      </c>
      <c r="K245">
        <v>0</v>
      </c>
      <c r="L245">
        <v>16</v>
      </c>
      <c r="M245">
        <v>13</v>
      </c>
      <c r="N245">
        <v>13</v>
      </c>
      <c r="O245">
        <v>14879.13</v>
      </c>
      <c r="P245">
        <v>14197.27</v>
      </c>
      <c r="Q245" s="15"/>
    </row>
    <row r="246" spans="1:17" x14ac:dyDescent="0.25">
      <c r="A246">
        <v>2018</v>
      </c>
      <c r="B246">
        <v>2020</v>
      </c>
      <c r="C246" t="s">
        <v>102</v>
      </c>
      <c r="D246">
        <v>41621</v>
      </c>
      <c r="E246">
        <v>41</v>
      </c>
      <c r="F246">
        <v>40</v>
      </c>
      <c r="G246">
        <v>33</v>
      </c>
      <c r="H246">
        <v>7</v>
      </c>
      <c r="I246">
        <v>0</v>
      </c>
      <c r="J246">
        <v>0</v>
      </c>
      <c r="K246">
        <v>0</v>
      </c>
      <c r="L246">
        <v>17</v>
      </c>
      <c r="M246">
        <v>14</v>
      </c>
      <c r="N246">
        <v>7</v>
      </c>
      <c r="O246">
        <v>23282.21</v>
      </c>
      <c r="P246">
        <v>17212.7</v>
      </c>
      <c r="Q246" s="15"/>
    </row>
    <row r="247" spans="1:17" x14ac:dyDescent="0.25">
      <c r="A247">
        <v>2019</v>
      </c>
      <c r="B247">
        <v>2020</v>
      </c>
      <c r="C247" t="s">
        <v>139</v>
      </c>
      <c r="D247">
        <v>42141</v>
      </c>
      <c r="E247">
        <v>42</v>
      </c>
      <c r="F247">
        <v>68</v>
      </c>
      <c r="G247">
        <v>59</v>
      </c>
      <c r="H247">
        <v>8</v>
      </c>
      <c r="I247">
        <v>1</v>
      </c>
      <c r="J247">
        <v>0</v>
      </c>
      <c r="K247">
        <v>0</v>
      </c>
      <c r="L247">
        <v>2</v>
      </c>
      <c r="M247">
        <v>2</v>
      </c>
      <c r="N247">
        <v>2</v>
      </c>
      <c r="O247">
        <v>11770.97</v>
      </c>
      <c r="P247">
        <v>9904.4699999999993</v>
      </c>
      <c r="Q247" s="15"/>
    </row>
    <row r="248" spans="1:17" x14ac:dyDescent="0.25">
      <c r="A248">
        <v>2019</v>
      </c>
      <c r="B248">
        <v>2020</v>
      </c>
      <c r="C248" t="s">
        <v>139</v>
      </c>
      <c r="D248">
        <v>47141</v>
      </c>
      <c r="E248">
        <v>47</v>
      </c>
      <c r="F248">
        <v>44</v>
      </c>
      <c r="G248">
        <v>36</v>
      </c>
      <c r="H248">
        <v>7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12416.39</v>
      </c>
      <c r="P248">
        <v>12680.99</v>
      </c>
      <c r="Q248" s="15"/>
    </row>
    <row r="249" spans="1:17" x14ac:dyDescent="0.25">
      <c r="A249">
        <v>2019</v>
      </c>
      <c r="B249">
        <v>2020</v>
      </c>
      <c r="C249" t="s">
        <v>138</v>
      </c>
      <c r="D249">
        <v>42621</v>
      </c>
      <c r="E249">
        <v>42</v>
      </c>
      <c r="F249">
        <v>62</v>
      </c>
      <c r="G249">
        <v>55</v>
      </c>
      <c r="H249">
        <v>6</v>
      </c>
      <c r="I249">
        <v>0</v>
      </c>
      <c r="J249">
        <v>1</v>
      </c>
      <c r="K249">
        <v>0</v>
      </c>
      <c r="L249">
        <v>18</v>
      </c>
      <c r="M249">
        <v>16</v>
      </c>
      <c r="N249">
        <v>8</v>
      </c>
      <c r="O249">
        <v>14081.48</v>
      </c>
      <c r="P249">
        <v>12284.62</v>
      </c>
      <c r="Q249" s="15"/>
    </row>
    <row r="250" spans="1:17" x14ac:dyDescent="0.25">
      <c r="A250">
        <v>2019</v>
      </c>
      <c r="B250">
        <v>2020</v>
      </c>
      <c r="C250" t="s">
        <v>138</v>
      </c>
      <c r="D250">
        <v>42623</v>
      </c>
      <c r="E250">
        <v>42</v>
      </c>
      <c r="F250">
        <v>38</v>
      </c>
      <c r="G250">
        <v>33</v>
      </c>
      <c r="H250">
        <v>5</v>
      </c>
      <c r="I250">
        <v>0</v>
      </c>
      <c r="J250">
        <v>0</v>
      </c>
      <c r="K250">
        <v>0</v>
      </c>
      <c r="L250">
        <v>8</v>
      </c>
      <c r="M250">
        <v>6</v>
      </c>
      <c r="N250">
        <v>6</v>
      </c>
      <c r="O250">
        <v>17686.900000000001</v>
      </c>
      <c r="P250">
        <v>18562.54</v>
      </c>
      <c r="Q250" s="15"/>
    </row>
    <row r="251" spans="1:17" x14ac:dyDescent="0.25">
      <c r="A251">
        <v>2019</v>
      </c>
      <c r="B251">
        <v>2020</v>
      </c>
      <c r="C251" t="s">
        <v>138</v>
      </c>
      <c r="D251">
        <v>43310</v>
      </c>
      <c r="E251">
        <v>43</v>
      </c>
      <c r="F251">
        <v>58</v>
      </c>
      <c r="G251">
        <v>53</v>
      </c>
      <c r="H251">
        <v>3</v>
      </c>
      <c r="I251">
        <v>0</v>
      </c>
      <c r="J251">
        <v>2</v>
      </c>
      <c r="K251">
        <v>0</v>
      </c>
      <c r="L251">
        <v>10</v>
      </c>
      <c r="M251">
        <v>8</v>
      </c>
      <c r="N251">
        <v>8</v>
      </c>
      <c r="O251">
        <v>12719.62</v>
      </c>
      <c r="P251">
        <v>9942.2000000000007</v>
      </c>
      <c r="Q251" s="15"/>
    </row>
    <row r="252" spans="1:17" x14ac:dyDescent="0.25">
      <c r="A252">
        <v>2019</v>
      </c>
      <c r="B252">
        <v>2020</v>
      </c>
      <c r="C252" t="s">
        <v>138</v>
      </c>
      <c r="D252">
        <v>43525</v>
      </c>
      <c r="E252">
        <v>43</v>
      </c>
      <c r="F252">
        <v>35</v>
      </c>
      <c r="G252">
        <v>33</v>
      </c>
      <c r="H252">
        <v>2</v>
      </c>
      <c r="I252">
        <v>0</v>
      </c>
      <c r="J252">
        <v>0</v>
      </c>
      <c r="K252">
        <v>0</v>
      </c>
      <c r="L252">
        <v>6</v>
      </c>
      <c r="M252">
        <v>5</v>
      </c>
      <c r="N252">
        <v>3</v>
      </c>
      <c r="O252">
        <v>14447.68</v>
      </c>
      <c r="P252">
        <v>13982.9</v>
      </c>
      <c r="Q252" s="15"/>
    </row>
    <row r="253" spans="1:17" x14ac:dyDescent="0.25">
      <c r="A253">
        <v>2019</v>
      </c>
      <c r="B253">
        <v>2020</v>
      </c>
      <c r="C253" t="s">
        <v>138</v>
      </c>
      <c r="D253">
        <v>45310</v>
      </c>
      <c r="E253">
        <v>45</v>
      </c>
      <c r="F253">
        <v>34</v>
      </c>
      <c r="G253">
        <v>31</v>
      </c>
      <c r="H253">
        <v>2</v>
      </c>
      <c r="I253">
        <v>0</v>
      </c>
      <c r="J253">
        <v>1</v>
      </c>
      <c r="K253">
        <v>0</v>
      </c>
      <c r="L253">
        <v>5</v>
      </c>
      <c r="M253">
        <v>4</v>
      </c>
      <c r="N253">
        <v>4</v>
      </c>
      <c r="O253">
        <v>15167.58</v>
      </c>
      <c r="P253">
        <v>13877.63</v>
      </c>
      <c r="Q253" s="15"/>
    </row>
    <row r="254" spans="1:17" x14ac:dyDescent="0.25">
      <c r="A254">
        <v>2019</v>
      </c>
      <c r="B254">
        <v>2020</v>
      </c>
      <c r="C254" t="s">
        <v>138</v>
      </c>
      <c r="D254">
        <v>49640</v>
      </c>
      <c r="E254">
        <v>49</v>
      </c>
      <c r="F254">
        <v>37</v>
      </c>
      <c r="G254">
        <v>34</v>
      </c>
      <c r="H254">
        <v>1</v>
      </c>
      <c r="I254">
        <v>0</v>
      </c>
      <c r="J254">
        <v>2</v>
      </c>
      <c r="K254">
        <v>0</v>
      </c>
      <c r="L254">
        <v>1</v>
      </c>
      <c r="M254">
        <v>1</v>
      </c>
      <c r="N254">
        <v>1</v>
      </c>
      <c r="O254">
        <v>13974.33</v>
      </c>
      <c r="P254">
        <v>12760.55</v>
      </c>
      <c r="Q254" s="15"/>
    </row>
    <row r="255" spans="1:17" x14ac:dyDescent="0.25">
      <c r="A255">
        <v>2019</v>
      </c>
      <c r="B255">
        <v>2020</v>
      </c>
      <c r="C255" t="s">
        <v>137</v>
      </c>
      <c r="D255">
        <v>41721</v>
      </c>
      <c r="E255">
        <v>41</v>
      </c>
      <c r="F255">
        <v>42</v>
      </c>
      <c r="G255">
        <v>39</v>
      </c>
      <c r="H255">
        <v>2</v>
      </c>
      <c r="I255">
        <v>0</v>
      </c>
      <c r="J255">
        <v>1</v>
      </c>
      <c r="K255">
        <v>0</v>
      </c>
      <c r="L255">
        <v>2</v>
      </c>
      <c r="M255">
        <v>2</v>
      </c>
      <c r="N255">
        <v>2</v>
      </c>
      <c r="O255">
        <v>18596.36</v>
      </c>
      <c r="P255">
        <v>19437.29</v>
      </c>
      <c r="Q255" s="15"/>
    </row>
    <row r="256" spans="1:17" x14ac:dyDescent="0.25">
      <c r="A256">
        <v>2019</v>
      </c>
      <c r="B256">
        <v>2020</v>
      </c>
      <c r="C256" t="s">
        <v>137</v>
      </c>
      <c r="D256">
        <v>41722</v>
      </c>
      <c r="E256">
        <v>41</v>
      </c>
      <c r="F256">
        <v>134</v>
      </c>
      <c r="G256">
        <v>121</v>
      </c>
      <c r="H256">
        <v>10</v>
      </c>
      <c r="I256">
        <v>2</v>
      </c>
      <c r="J256">
        <v>1</v>
      </c>
      <c r="K256">
        <v>1</v>
      </c>
      <c r="L256">
        <v>13</v>
      </c>
      <c r="M256">
        <v>12</v>
      </c>
      <c r="N256">
        <v>11</v>
      </c>
      <c r="O256">
        <v>12505.7</v>
      </c>
      <c r="P256">
        <v>9316.0400000000009</v>
      </c>
      <c r="Q256" s="15"/>
    </row>
    <row r="257" spans="1:17" x14ac:dyDescent="0.25">
      <c r="A257">
        <v>2019</v>
      </c>
      <c r="B257">
        <v>2020</v>
      </c>
      <c r="C257" t="s">
        <v>137</v>
      </c>
      <c r="D257">
        <v>41723</v>
      </c>
      <c r="E257">
        <v>41</v>
      </c>
      <c r="F257">
        <v>52</v>
      </c>
      <c r="G257">
        <v>43</v>
      </c>
      <c r="H257">
        <v>7</v>
      </c>
      <c r="I257">
        <v>1</v>
      </c>
      <c r="J257">
        <v>1</v>
      </c>
      <c r="K257">
        <v>2</v>
      </c>
      <c r="L257">
        <v>2</v>
      </c>
      <c r="M257">
        <v>2</v>
      </c>
      <c r="N257">
        <v>2</v>
      </c>
      <c r="O257">
        <v>14550.71</v>
      </c>
      <c r="P257">
        <v>11834.03</v>
      </c>
      <c r="Q257" s="15"/>
    </row>
    <row r="258" spans="1:17" x14ac:dyDescent="0.25">
      <c r="A258">
        <v>2019</v>
      </c>
      <c r="B258">
        <v>2020</v>
      </c>
      <c r="C258" t="s">
        <v>137</v>
      </c>
      <c r="D258">
        <v>41762</v>
      </c>
      <c r="E258">
        <v>41</v>
      </c>
      <c r="F258">
        <v>50</v>
      </c>
      <c r="G258">
        <v>46</v>
      </c>
      <c r="H258">
        <v>3</v>
      </c>
      <c r="I258">
        <v>0</v>
      </c>
      <c r="J258">
        <v>1</v>
      </c>
      <c r="K258">
        <v>0</v>
      </c>
      <c r="L258">
        <v>4</v>
      </c>
      <c r="M258">
        <v>4</v>
      </c>
      <c r="N258">
        <v>4</v>
      </c>
      <c r="O258">
        <v>11301.96</v>
      </c>
      <c r="P258">
        <v>11221.08</v>
      </c>
      <c r="Q258" s="15"/>
    </row>
    <row r="259" spans="1:17" x14ac:dyDescent="0.25">
      <c r="A259">
        <v>2019</v>
      </c>
      <c r="B259">
        <v>2020</v>
      </c>
      <c r="C259" t="s">
        <v>136</v>
      </c>
      <c r="D259">
        <v>42141</v>
      </c>
      <c r="E259">
        <v>42</v>
      </c>
      <c r="F259">
        <v>73</v>
      </c>
      <c r="G259">
        <v>63</v>
      </c>
      <c r="H259">
        <v>9</v>
      </c>
      <c r="I259">
        <v>0</v>
      </c>
      <c r="J259">
        <v>1</v>
      </c>
      <c r="K259">
        <v>0</v>
      </c>
      <c r="L259">
        <v>4</v>
      </c>
      <c r="M259">
        <v>4</v>
      </c>
      <c r="N259">
        <v>4</v>
      </c>
      <c r="O259">
        <v>11853.52</v>
      </c>
      <c r="P259">
        <v>11222.55</v>
      </c>
      <c r="Q259" s="15"/>
    </row>
    <row r="260" spans="1:17" x14ac:dyDescent="0.25">
      <c r="A260">
        <v>2019</v>
      </c>
      <c r="B260">
        <v>2020</v>
      </c>
      <c r="C260" t="s">
        <v>136</v>
      </c>
      <c r="D260">
        <v>47141</v>
      </c>
      <c r="E260">
        <v>47</v>
      </c>
      <c r="F260">
        <v>39</v>
      </c>
      <c r="G260">
        <v>38</v>
      </c>
      <c r="H260">
        <v>1</v>
      </c>
      <c r="I260">
        <v>0</v>
      </c>
      <c r="J260">
        <v>0</v>
      </c>
      <c r="K260">
        <v>0</v>
      </c>
      <c r="L260">
        <v>3</v>
      </c>
      <c r="M260">
        <v>3</v>
      </c>
      <c r="N260">
        <v>2</v>
      </c>
      <c r="O260">
        <v>15342.39</v>
      </c>
      <c r="P260">
        <v>14247.76</v>
      </c>
      <c r="Q260" s="15"/>
    </row>
    <row r="261" spans="1:17" x14ac:dyDescent="0.25">
      <c r="A261">
        <v>2019</v>
      </c>
      <c r="B261">
        <v>2020</v>
      </c>
      <c r="C261" t="s">
        <v>135</v>
      </c>
      <c r="D261">
        <v>41525</v>
      </c>
      <c r="E261">
        <v>41</v>
      </c>
      <c r="F261">
        <v>65</v>
      </c>
      <c r="G261">
        <v>59</v>
      </c>
      <c r="H261">
        <v>1</v>
      </c>
      <c r="I261">
        <v>1</v>
      </c>
      <c r="J261">
        <v>4</v>
      </c>
      <c r="K261">
        <v>0</v>
      </c>
      <c r="L261">
        <v>4</v>
      </c>
      <c r="M261">
        <v>4</v>
      </c>
      <c r="N261">
        <v>3</v>
      </c>
      <c r="O261">
        <v>8462.7900000000009</v>
      </c>
      <c r="P261">
        <v>5242.2700000000004</v>
      </c>
      <c r="Q261" s="15"/>
    </row>
    <row r="262" spans="1:17" x14ac:dyDescent="0.25">
      <c r="A262">
        <v>2019</v>
      </c>
      <c r="B262">
        <v>2020</v>
      </c>
      <c r="C262" t="s">
        <v>135</v>
      </c>
      <c r="D262">
        <v>41840</v>
      </c>
      <c r="E262">
        <v>41</v>
      </c>
      <c r="F262">
        <v>63</v>
      </c>
      <c r="G262">
        <v>53</v>
      </c>
      <c r="H262">
        <v>2</v>
      </c>
      <c r="I262">
        <v>0</v>
      </c>
      <c r="J262">
        <v>8</v>
      </c>
      <c r="K262">
        <v>3</v>
      </c>
      <c r="L262">
        <v>5</v>
      </c>
      <c r="M262">
        <v>2</v>
      </c>
      <c r="N262">
        <v>2</v>
      </c>
      <c r="O262">
        <v>6876.39</v>
      </c>
      <c r="P262">
        <v>5026.72</v>
      </c>
      <c r="Q262" s="15"/>
    </row>
    <row r="263" spans="1:17" x14ac:dyDescent="0.25">
      <c r="A263">
        <v>2019</v>
      </c>
      <c r="B263">
        <v>2020</v>
      </c>
      <c r="C263" t="s">
        <v>134</v>
      </c>
      <c r="D263">
        <v>41141</v>
      </c>
      <c r="E263">
        <v>41</v>
      </c>
      <c r="F263">
        <v>284</v>
      </c>
      <c r="G263">
        <v>256</v>
      </c>
      <c r="H263">
        <v>20</v>
      </c>
      <c r="I263">
        <v>2</v>
      </c>
      <c r="J263">
        <v>6</v>
      </c>
      <c r="K263">
        <v>2</v>
      </c>
      <c r="L263">
        <v>13</v>
      </c>
      <c r="M263">
        <v>12</v>
      </c>
      <c r="N263">
        <v>9</v>
      </c>
      <c r="O263">
        <v>10951.91</v>
      </c>
      <c r="P263">
        <v>10486.66</v>
      </c>
      <c r="Q263" s="15"/>
    </row>
    <row r="264" spans="1:17" x14ac:dyDescent="0.25">
      <c r="A264">
        <v>2019</v>
      </c>
      <c r="B264">
        <v>2020</v>
      </c>
      <c r="C264" t="s">
        <v>134</v>
      </c>
      <c r="D264">
        <v>41345</v>
      </c>
      <c r="E264">
        <v>41</v>
      </c>
      <c r="F264">
        <v>43</v>
      </c>
      <c r="G264">
        <v>35</v>
      </c>
      <c r="H264">
        <v>7</v>
      </c>
      <c r="I264">
        <v>0</v>
      </c>
      <c r="J264">
        <v>1</v>
      </c>
      <c r="K264">
        <v>0</v>
      </c>
      <c r="L264">
        <v>6</v>
      </c>
      <c r="M264">
        <v>5</v>
      </c>
      <c r="N264">
        <v>4</v>
      </c>
      <c r="O264">
        <v>12014.64</v>
      </c>
      <c r="P264">
        <v>11302.41</v>
      </c>
      <c r="Q264" s="15"/>
    </row>
    <row r="265" spans="1:17" x14ac:dyDescent="0.25">
      <c r="A265">
        <v>2019</v>
      </c>
      <c r="B265">
        <v>2020</v>
      </c>
      <c r="C265" t="s">
        <v>134</v>
      </c>
      <c r="D265">
        <v>41481</v>
      </c>
      <c r="E265">
        <v>41</v>
      </c>
      <c r="F265">
        <v>106</v>
      </c>
      <c r="G265">
        <v>91</v>
      </c>
      <c r="H265">
        <v>13</v>
      </c>
      <c r="I265">
        <v>0</v>
      </c>
      <c r="J265">
        <v>2</v>
      </c>
      <c r="K265">
        <v>1</v>
      </c>
      <c r="L265">
        <v>12</v>
      </c>
      <c r="M265">
        <v>11</v>
      </c>
      <c r="N265">
        <v>11</v>
      </c>
      <c r="O265">
        <v>13478.31</v>
      </c>
      <c r="P265">
        <v>11192.19</v>
      </c>
      <c r="Q265" s="15"/>
    </row>
    <row r="266" spans="1:17" x14ac:dyDescent="0.25">
      <c r="A266">
        <v>2019</v>
      </c>
      <c r="B266">
        <v>2020</v>
      </c>
      <c r="C266" t="s">
        <v>134</v>
      </c>
      <c r="D266">
        <v>42141</v>
      </c>
      <c r="E266">
        <v>42</v>
      </c>
      <c r="F266">
        <v>366</v>
      </c>
      <c r="G266">
        <v>335</v>
      </c>
      <c r="H266">
        <v>23</v>
      </c>
      <c r="I266">
        <v>3</v>
      </c>
      <c r="J266">
        <v>5</v>
      </c>
      <c r="K266">
        <v>2</v>
      </c>
      <c r="L266">
        <v>14</v>
      </c>
      <c r="M266">
        <v>12</v>
      </c>
      <c r="N266">
        <v>10</v>
      </c>
      <c r="O266">
        <v>12277.18</v>
      </c>
      <c r="P266">
        <v>11763.4</v>
      </c>
      <c r="Q266" s="15"/>
    </row>
    <row r="267" spans="1:17" x14ac:dyDescent="0.25">
      <c r="A267">
        <v>2019</v>
      </c>
      <c r="B267">
        <v>2020</v>
      </c>
      <c r="C267" t="s">
        <v>134</v>
      </c>
      <c r="D267">
        <v>42310</v>
      </c>
      <c r="E267">
        <v>42</v>
      </c>
      <c r="F267">
        <v>38</v>
      </c>
      <c r="G267">
        <v>31</v>
      </c>
      <c r="H267">
        <v>6</v>
      </c>
      <c r="I267">
        <v>0</v>
      </c>
      <c r="J267">
        <v>1</v>
      </c>
      <c r="K267">
        <v>1</v>
      </c>
      <c r="L267">
        <v>5</v>
      </c>
      <c r="M267">
        <v>4</v>
      </c>
      <c r="N267">
        <v>4</v>
      </c>
      <c r="O267">
        <v>18085.09</v>
      </c>
      <c r="P267">
        <v>13337.94</v>
      </c>
      <c r="Q267" s="15"/>
    </row>
    <row r="268" spans="1:17" x14ac:dyDescent="0.25">
      <c r="A268">
        <v>2019</v>
      </c>
      <c r="B268">
        <v>2020</v>
      </c>
      <c r="C268" t="s">
        <v>134</v>
      </c>
      <c r="D268">
        <v>42723</v>
      </c>
      <c r="E268">
        <v>42</v>
      </c>
      <c r="F268">
        <v>109</v>
      </c>
      <c r="G268">
        <v>101</v>
      </c>
      <c r="H268">
        <v>6</v>
      </c>
      <c r="I268">
        <v>1</v>
      </c>
      <c r="J268">
        <v>1</v>
      </c>
      <c r="K268">
        <v>0</v>
      </c>
      <c r="L268">
        <v>7</v>
      </c>
      <c r="M268">
        <v>6</v>
      </c>
      <c r="N268">
        <v>6</v>
      </c>
      <c r="O268">
        <v>19380.37</v>
      </c>
      <c r="P268">
        <v>18485.349999999999</v>
      </c>
      <c r="Q268" s="15"/>
    </row>
    <row r="269" spans="1:17" x14ac:dyDescent="0.25">
      <c r="A269">
        <v>2019</v>
      </c>
      <c r="B269">
        <v>2020</v>
      </c>
      <c r="C269" t="s">
        <v>134</v>
      </c>
      <c r="D269">
        <v>43222</v>
      </c>
      <c r="E269">
        <v>43</v>
      </c>
      <c r="F269">
        <v>143</v>
      </c>
      <c r="G269">
        <v>93</v>
      </c>
      <c r="H269">
        <v>44</v>
      </c>
      <c r="I269">
        <v>2</v>
      </c>
      <c r="J269">
        <v>4</v>
      </c>
      <c r="K269">
        <v>5</v>
      </c>
      <c r="L269">
        <v>6</v>
      </c>
      <c r="M269">
        <v>6</v>
      </c>
      <c r="N269">
        <v>6</v>
      </c>
      <c r="O269">
        <v>10079.18</v>
      </c>
      <c r="P269">
        <v>10082.280000000001</v>
      </c>
      <c r="Q269" s="15"/>
    </row>
    <row r="270" spans="1:17" x14ac:dyDescent="0.25">
      <c r="A270">
        <v>2019</v>
      </c>
      <c r="B270">
        <v>2020</v>
      </c>
      <c r="C270" t="s">
        <v>134</v>
      </c>
      <c r="D270">
        <v>43224</v>
      </c>
      <c r="E270">
        <v>43</v>
      </c>
      <c r="F270">
        <v>39</v>
      </c>
      <c r="G270">
        <v>32</v>
      </c>
      <c r="H270">
        <v>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9649.64</v>
      </c>
      <c r="P270">
        <v>8889.15</v>
      </c>
      <c r="Q270" s="15"/>
    </row>
    <row r="271" spans="1:17" x14ac:dyDescent="0.25">
      <c r="A271">
        <v>2019</v>
      </c>
      <c r="B271">
        <v>2020</v>
      </c>
      <c r="C271" t="s">
        <v>134</v>
      </c>
      <c r="D271">
        <v>43310</v>
      </c>
      <c r="E271">
        <v>43</v>
      </c>
      <c r="F271">
        <v>104</v>
      </c>
      <c r="G271">
        <v>74</v>
      </c>
      <c r="H271">
        <v>28</v>
      </c>
      <c r="I271">
        <v>0</v>
      </c>
      <c r="J271">
        <v>2</v>
      </c>
      <c r="K271">
        <v>2</v>
      </c>
      <c r="L271">
        <v>8</v>
      </c>
      <c r="M271">
        <v>8</v>
      </c>
      <c r="N271">
        <v>8</v>
      </c>
      <c r="O271">
        <v>12638.87</v>
      </c>
      <c r="P271">
        <v>13394.1</v>
      </c>
      <c r="Q271" s="15"/>
    </row>
    <row r="272" spans="1:17" x14ac:dyDescent="0.25">
      <c r="A272">
        <v>2019</v>
      </c>
      <c r="B272">
        <v>2020</v>
      </c>
      <c r="C272" t="s">
        <v>134</v>
      </c>
      <c r="D272">
        <v>43313</v>
      </c>
      <c r="E272">
        <v>43</v>
      </c>
      <c r="F272">
        <v>107</v>
      </c>
      <c r="G272">
        <v>79</v>
      </c>
      <c r="H272">
        <v>25</v>
      </c>
      <c r="I272">
        <v>0</v>
      </c>
      <c r="J272">
        <v>3</v>
      </c>
      <c r="K272">
        <v>0</v>
      </c>
      <c r="L272">
        <v>21</v>
      </c>
      <c r="M272">
        <v>14</v>
      </c>
      <c r="N272">
        <v>12</v>
      </c>
      <c r="O272">
        <v>16069.81</v>
      </c>
      <c r="P272">
        <v>13392.52</v>
      </c>
      <c r="Q272" s="15"/>
    </row>
    <row r="273" spans="1:17" x14ac:dyDescent="0.25">
      <c r="A273">
        <v>2019</v>
      </c>
      <c r="B273">
        <v>2020</v>
      </c>
      <c r="C273" t="s">
        <v>134</v>
      </c>
      <c r="D273">
        <v>43321</v>
      </c>
      <c r="E273">
        <v>43</v>
      </c>
      <c r="F273">
        <v>93</v>
      </c>
      <c r="G273">
        <v>75</v>
      </c>
      <c r="H273">
        <v>13</v>
      </c>
      <c r="I273">
        <v>2</v>
      </c>
      <c r="J273">
        <v>3</v>
      </c>
      <c r="K273">
        <v>0</v>
      </c>
      <c r="L273">
        <v>12</v>
      </c>
      <c r="M273">
        <v>12</v>
      </c>
      <c r="N273">
        <v>12</v>
      </c>
      <c r="O273">
        <v>11818.72</v>
      </c>
      <c r="P273">
        <v>11104.46</v>
      </c>
      <c r="Q273" s="15"/>
    </row>
    <row r="274" spans="1:17" x14ac:dyDescent="0.25">
      <c r="A274">
        <v>2019</v>
      </c>
      <c r="B274">
        <v>2020</v>
      </c>
      <c r="C274" t="s">
        <v>134</v>
      </c>
      <c r="D274">
        <v>43345</v>
      </c>
      <c r="E274">
        <v>43</v>
      </c>
      <c r="F274">
        <v>76</v>
      </c>
      <c r="G274">
        <v>61</v>
      </c>
      <c r="H274">
        <v>9</v>
      </c>
      <c r="I274">
        <v>3</v>
      </c>
      <c r="J274">
        <v>3</v>
      </c>
      <c r="K274">
        <v>2</v>
      </c>
      <c r="L274">
        <v>7</v>
      </c>
      <c r="M274">
        <v>6</v>
      </c>
      <c r="N274">
        <v>5</v>
      </c>
      <c r="O274">
        <v>14112.38</v>
      </c>
      <c r="P274">
        <v>12926.19</v>
      </c>
      <c r="Q274" s="15"/>
    </row>
    <row r="275" spans="1:17" x14ac:dyDescent="0.25">
      <c r="A275">
        <v>2019</v>
      </c>
      <c r="B275">
        <v>2020</v>
      </c>
      <c r="C275" t="s">
        <v>134</v>
      </c>
      <c r="D275">
        <v>43380</v>
      </c>
      <c r="E275">
        <v>43</v>
      </c>
      <c r="F275">
        <v>186</v>
      </c>
      <c r="G275">
        <v>156</v>
      </c>
      <c r="H275">
        <v>28</v>
      </c>
      <c r="I275">
        <v>0</v>
      </c>
      <c r="J275">
        <v>2</v>
      </c>
      <c r="K275">
        <v>0</v>
      </c>
      <c r="L275">
        <v>18</v>
      </c>
      <c r="M275">
        <v>15</v>
      </c>
      <c r="N275">
        <v>15</v>
      </c>
      <c r="O275">
        <v>13615.1</v>
      </c>
      <c r="P275">
        <v>12505.96</v>
      </c>
      <c r="Q275" s="15"/>
    </row>
    <row r="276" spans="1:17" x14ac:dyDescent="0.25">
      <c r="A276">
        <v>2019</v>
      </c>
      <c r="B276">
        <v>2020</v>
      </c>
      <c r="C276" t="s">
        <v>134</v>
      </c>
      <c r="D276">
        <v>43420</v>
      </c>
      <c r="E276">
        <v>43</v>
      </c>
      <c r="F276">
        <v>44</v>
      </c>
      <c r="G276">
        <v>39</v>
      </c>
      <c r="H276">
        <v>5</v>
      </c>
      <c r="I276">
        <v>0</v>
      </c>
      <c r="J276">
        <v>0</v>
      </c>
      <c r="K276">
        <v>0</v>
      </c>
      <c r="L276">
        <v>2</v>
      </c>
      <c r="M276">
        <v>2</v>
      </c>
      <c r="N276">
        <v>2</v>
      </c>
      <c r="O276">
        <v>10741.22</v>
      </c>
      <c r="P276">
        <v>11096.45</v>
      </c>
      <c r="Q276" s="15"/>
    </row>
    <row r="277" spans="1:17" x14ac:dyDescent="0.25">
      <c r="A277">
        <v>2019</v>
      </c>
      <c r="B277">
        <v>2020</v>
      </c>
      <c r="C277" t="s">
        <v>134</v>
      </c>
      <c r="D277">
        <v>43440</v>
      </c>
      <c r="E277">
        <v>43</v>
      </c>
      <c r="F277">
        <v>94</v>
      </c>
      <c r="G277">
        <v>83</v>
      </c>
      <c r="H277">
        <v>9</v>
      </c>
      <c r="I277">
        <v>2</v>
      </c>
      <c r="J277">
        <v>0</v>
      </c>
      <c r="K277">
        <v>1</v>
      </c>
      <c r="L277">
        <v>3</v>
      </c>
      <c r="M277">
        <v>3</v>
      </c>
      <c r="N277">
        <v>3</v>
      </c>
      <c r="O277">
        <v>12159.04</v>
      </c>
      <c r="P277">
        <v>12056.08</v>
      </c>
      <c r="Q277" s="15"/>
    </row>
    <row r="278" spans="1:17" x14ac:dyDescent="0.25">
      <c r="A278">
        <v>2019</v>
      </c>
      <c r="B278">
        <v>2020</v>
      </c>
      <c r="C278" t="s">
        <v>134</v>
      </c>
      <c r="D278">
        <v>43481</v>
      </c>
      <c r="E278">
        <v>43</v>
      </c>
      <c r="F278">
        <v>60</v>
      </c>
      <c r="G278">
        <v>53</v>
      </c>
      <c r="H278">
        <v>5</v>
      </c>
      <c r="I278">
        <v>0</v>
      </c>
      <c r="J278">
        <v>2</v>
      </c>
      <c r="K278">
        <v>0</v>
      </c>
      <c r="L278">
        <v>4</v>
      </c>
      <c r="M278">
        <v>4</v>
      </c>
      <c r="N278">
        <v>4</v>
      </c>
      <c r="O278">
        <v>29218.1</v>
      </c>
      <c r="P278">
        <v>25096.11</v>
      </c>
      <c r="Q278" s="15"/>
    </row>
    <row r="279" spans="1:17" x14ac:dyDescent="0.25">
      <c r="A279">
        <v>2019</v>
      </c>
      <c r="B279">
        <v>2020</v>
      </c>
      <c r="C279" t="s">
        <v>134</v>
      </c>
      <c r="D279">
        <v>43850</v>
      </c>
      <c r="E279">
        <v>43</v>
      </c>
      <c r="F279">
        <v>43</v>
      </c>
      <c r="G279">
        <v>34</v>
      </c>
      <c r="H279">
        <v>8</v>
      </c>
      <c r="I279">
        <v>0</v>
      </c>
      <c r="J279">
        <v>1</v>
      </c>
      <c r="K279">
        <v>0</v>
      </c>
      <c r="L279">
        <v>3</v>
      </c>
      <c r="M279">
        <v>3</v>
      </c>
      <c r="N279">
        <v>3</v>
      </c>
      <c r="O279">
        <v>11175.57</v>
      </c>
      <c r="P279">
        <v>11624.32</v>
      </c>
      <c r="Q279" s="15"/>
    </row>
    <row r="280" spans="1:17" x14ac:dyDescent="0.25">
      <c r="A280">
        <v>2019</v>
      </c>
      <c r="B280">
        <v>2020</v>
      </c>
      <c r="C280" t="s">
        <v>134</v>
      </c>
      <c r="D280">
        <v>45222</v>
      </c>
      <c r="E280">
        <v>45</v>
      </c>
      <c r="F280">
        <v>58</v>
      </c>
      <c r="G280">
        <v>45</v>
      </c>
      <c r="H280">
        <v>12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13227</v>
      </c>
      <c r="P280">
        <v>14404.08</v>
      </c>
      <c r="Q280" s="15"/>
    </row>
    <row r="281" spans="1:17" x14ac:dyDescent="0.25">
      <c r="A281">
        <v>2019</v>
      </c>
      <c r="B281">
        <v>2020</v>
      </c>
      <c r="C281" t="s">
        <v>134</v>
      </c>
      <c r="D281">
        <v>45310</v>
      </c>
      <c r="E281">
        <v>45</v>
      </c>
      <c r="F281">
        <v>51</v>
      </c>
      <c r="G281">
        <v>42</v>
      </c>
      <c r="H281">
        <v>6</v>
      </c>
      <c r="I281">
        <v>0</v>
      </c>
      <c r="J281">
        <v>3</v>
      </c>
      <c r="K281">
        <v>0</v>
      </c>
      <c r="L281">
        <v>8</v>
      </c>
      <c r="M281">
        <v>5</v>
      </c>
      <c r="N281">
        <v>5</v>
      </c>
      <c r="O281">
        <v>19035.02</v>
      </c>
      <c r="P281">
        <v>17923.11</v>
      </c>
      <c r="Q281" s="15"/>
    </row>
    <row r="282" spans="1:17" x14ac:dyDescent="0.25">
      <c r="A282">
        <v>2019</v>
      </c>
      <c r="B282">
        <v>2020</v>
      </c>
      <c r="C282" t="s">
        <v>134</v>
      </c>
      <c r="D282">
        <v>45345</v>
      </c>
      <c r="E282">
        <v>45</v>
      </c>
      <c r="F282">
        <v>55</v>
      </c>
      <c r="G282">
        <v>51</v>
      </c>
      <c r="H282">
        <v>3</v>
      </c>
      <c r="I282">
        <v>0</v>
      </c>
      <c r="J282">
        <v>1</v>
      </c>
      <c r="K282">
        <v>0</v>
      </c>
      <c r="L282">
        <v>13</v>
      </c>
      <c r="M282">
        <v>9</v>
      </c>
      <c r="N282">
        <v>9</v>
      </c>
      <c r="O282">
        <v>21403.47</v>
      </c>
      <c r="P282">
        <v>19193.099999999999</v>
      </c>
      <c r="Q282" s="15"/>
    </row>
    <row r="283" spans="1:17" x14ac:dyDescent="0.25">
      <c r="A283">
        <v>2019</v>
      </c>
      <c r="B283">
        <v>2020</v>
      </c>
      <c r="C283" t="s">
        <v>134</v>
      </c>
      <c r="D283">
        <v>45440</v>
      </c>
      <c r="E283">
        <v>45</v>
      </c>
      <c r="F283">
        <v>55</v>
      </c>
      <c r="G283">
        <v>50</v>
      </c>
      <c r="H283">
        <v>5</v>
      </c>
      <c r="I283">
        <v>0</v>
      </c>
      <c r="J283">
        <v>0</v>
      </c>
      <c r="K283">
        <v>2</v>
      </c>
      <c r="L283">
        <v>2</v>
      </c>
      <c r="M283">
        <v>2</v>
      </c>
      <c r="N283">
        <v>2</v>
      </c>
      <c r="O283">
        <v>17005</v>
      </c>
      <c r="P283">
        <v>16274</v>
      </c>
      <c r="Q283" s="15"/>
    </row>
    <row r="284" spans="1:17" x14ac:dyDescent="0.25">
      <c r="A284">
        <v>2019</v>
      </c>
      <c r="B284">
        <v>2020</v>
      </c>
      <c r="C284" t="s">
        <v>134</v>
      </c>
      <c r="D284">
        <v>46141</v>
      </c>
      <c r="E284">
        <v>46</v>
      </c>
      <c r="F284">
        <v>87</v>
      </c>
      <c r="G284">
        <v>85</v>
      </c>
      <c r="H284">
        <v>1</v>
      </c>
      <c r="I284">
        <v>1</v>
      </c>
      <c r="J284">
        <v>0</v>
      </c>
      <c r="K284">
        <v>2</v>
      </c>
      <c r="L284">
        <v>2</v>
      </c>
      <c r="M284">
        <v>2</v>
      </c>
      <c r="N284">
        <v>2</v>
      </c>
      <c r="O284">
        <v>16222.12</v>
      </c>
      <c r="P284">
        <v>15656.23</v>
      </c>
      <c r="Q284" s="15"/>
    </row>
    <row r="285" spans="1:17" x14ac:dyDescent="0.25">
      <c r="A285">
        <v>2019</v>
      </c>
      <c r="B285">
        <v>2020</v>
      </c>
      <c r="C285" t="s">
        <v>134</v>
      </c>
      <c r="D285">
        <v>47142</v>
      </c>
      <c r="E285">
        <v>47</v>
      </c>
      <c r="F285">
        <v>33</v>
      </c>
      <c r="G285">
        <v>31</v>
      </c>
      <c r="H285">
        <v>1</v>
      </c>
      <c r="I285">
        <v>0</v>
      </c>
      <c r="J285">
        <v>1</v>
      </c>
      <c r="K285">
        <v>1</v>
      </c>
      <c r="L285">
        <v>5</v>
      </c>
      <c r="M285">
        <v>4</v>
      </c>
      <c r="N285">
        <v>3</v>
      </c>
      <c r="O285">
        <v>19425.04</v>
      </c>
      <c r="P285">
        <v>17073.84</v>
      </c>
      <c r="Q285" s="15"/>
    </row>
    <row r="286" spans="1:17" x14ac:dyDescent="0.25">
      <c r="A286">
        <v>2019</v>
      </c>
      <c r="B286">
        <v>2020</v>
      </c>
      <c r="C286" t="s">
        <v>134</v>
      </c>
      <c r="D286">
        <v>47313</v>
      </c>
      <c r="E286">
        <v>47</v>
      </c>
      <c r="F286">
        <v>35</v>
      </c>
      <c r="G286">
        <v>31</v>
      </c>
      <c r="H286">
        <v>2</v>
      </c>
      <c r="I286">
        <v>1</v>
      </c>
      <c r="J286">
        <v>1</v>
      </c>
      <c r="K286">
        <v>0</v>
      </c>
      <c r="L286">
        <v>4</v>
      </c>
      <c r="M286">
        <v>4</v>
      </c>
      <c r="N286">
        <v>3</v>
      </c>
      <c r="O286">
        <v>14291.47</v>
      </c>
      <c r="P286">
        <v>13596.49</v>
      </c>
      <c r="Q286" s="15"/>
    </row>
    <row r="287" spans="1:17" x14ac:dyDescent="0.25">
      <c r="A287">
        <v>2019</v>
      </c>
      <c r="B287">
        <v>2020</v>
      </c>
      <c r="C287" t="s">
        <v>134</v>
      </c>
      <c r="D287">
        <v>47345</v>
      </c>
      <c r="E287">
        <v>47</v>
      </c>
      <c r="F287">
        <v>36</v>
      </c>
      <c r="G287">
        <v>32</v>
      </c>
      <c r="H287">
        <v>2</v>
      </c>
      <c r="I287">
        <v>1</v>
      </c>
      <c r="J287">
        <v>1</v>
      </c>
      <c r="K287">
        <v>7</v>
      </c>
      <c r="L287">
        <v>4</v>
      </c>
      <c r="M287">
        <v>3</v>
      </c>
      <c r="N287">
        <v>3</v>
      </c>
      <c r="O287">
        <v>27824.87</v>
      </c>
      <c r="P287">
        <v>23506.400000000001</v>
      </c>
      <c r="Q287" s="15"/>
    </row>
    <row r="288" spans="1:17" x14ac:dyDescent="0.25">
      <c r="A288">
        <v>2019</v>
      </c>
      <c r="B288">
        <v>2020</v>
      </c>
      <c r="C288" t="s">
        <v>134</v>
      </c>
      <c r="D288">
        <v>47380</v>
      </c>
      <c r="E288">
        <v>47</v>
      </c>
      <c r="F288">
        <v>109</v>
      </c>
      <c r="G288">
        <v>99</v>
      </c>
      <c r="H288">
        <v>10</v>
      </c>
      <c r="I288">
        <v>0</v>
      </c>
      <c r="J288">
        <v>0</v>
      </c>
      <c r="K288">
        <v>0</v>
      </c>
      <c r="L288">
        <v>9</v>
      </c>
      <c r="M288">
        <v>6</v>
      </c>
      <c r="N288">
        <v>6</v>
      </c>
      <c r="O288">
        <v>18925.39</v>
      </c>
      <c r="P288">
        <v>18530.82</v>
      </c>
      <c r="Q288" s="15"/>
    </row>
    <row r="289" spans="1:17" x14ac:dyDescent="0.25">
      <c r="A289">
        <v>2019</v>
      </c>
      <c r="B289">
        <v>2020</v>
      </c>
      <c r="C289" t="s">
        <v>134</v>
      </c>
      <c r="D289">
        <v>48721</v>
      </c>
      <c r="E289">
        <v>48</v>
      </c>
      <c r="F289">
        <v>97</v>
      </c>
      <c r="G289">
        <v>96</v>
      </c>
      <c r="H289">
        <v>1</v>
      </c>
      <c r="I289">
        <v>0</v>
      </c>
      <c r="J289">
        <v>0</v>
      </c>
      <c r="K289">
        <v>1</v>
      </c>
      <c r="L289">
        <v>23</v>
      </c>
      <c r="M289">
        <v>22</v>
      </c>
      <c r="N289">
        <v>22</v>
      </c>
      <c r="O289">
        <v>41795.379999999997</v>
      </c>
      <c r="P289">
        <v>34883.47</v>
      </c>
      <c r="Q289" s="15"/>
    </row>
    <row r="290" spans="1:17" x14ac:dyDescent="0.25">
      <c r="A290">
        <v>2019</v>
      </c>
      <c r="B290">
        <v>2020</v>
      </c>
      <c r="C290" t="s">
        <v>134</v>
      </c>
      <c r="D290">
        <v>49721</v>
      </c>
      <c r="E290">
        <v>49</v>
      </c>
      <c r="F290">
        <v>78</v>
      </c>
      <c r="G290">
        <v>72</v>
      </c>
      <c r="H290">
        <v>4</v>
      </c>
      <c r="I290">
        <v>0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20847.349999999999</v>
      </c>
      <c r="P290">
        <v>17689.009999999998</v>
      </c>
      <c r="Q290" s="15"/>
    </row>
    <row r="291" spans="1:17" x14ac:dyDescent="0.25">
      <c r="A291">
        <v>2019</v>
      </c>
      <c r="B291">
        <v>2020</v>
      </c>
      <c r="C291" t="s">
        <v>133</v>
      </c>
      <c r="D291">
        <v>41582</v>
      </c>
      <c r="E291">
        <v>41</v>
      </c>
      <c r="F291">
        <v>40</v>
      </c>
      <c r="G291">
        <v>34</v>
      </c>
      <c r="H291">
        <v>6</v>
      </c>
      <c r="I291">
        <v>0</v>
      </c>
      <c r="J291">
        <v>0</v>
      </c>
      <c r="K291">
        <v>0</v>
      </c>
      <c r="L291">
        <v>15</v>
      </c>
      <c r="M291">
        <v>7</v>
      </c>
      <c r="N291">
        <v>7</v>
      </c>
      <c r="O291">
        <v>31947.73</v>
      </c>
      <c r="P291">
        <v>24162.74</v>
      </c>
      <c r="Q291" s="15"/>
    </row>
    <row r="292" spans="1:17" x14ac:dyDescent="0.25">
      <c r="A292">
        <v>2019</v>
      </c>
      <c r="B292">
        <v>2020</v>
      </c>
      <c r="C292" t="s">
        <v>133</v>
      </c>
      <c r="D292">
        <v>42345</v>
      </c>
      <c r="E292">
        <v>42</v>
      </c>
      <c r="F292">
        <v>149</v>
      </c>
      <c r="G292">
        <v>130</v>
      </c>
      <c r="H292">
        <v>17</v>
      </c>
      <c r="I292">
        <v>0</v>
      </c>
      <c r="J292">
        <v>2</v>
      </c>
      <c r="K292">
        <v>1</v>
      </c>
      <c r="L292">
        <v>15</v>
      </c>
      <c r="M292">
        <v>12</v>
      </c>
      <c r="N292">
        <v>12</v>
      </c>
      <c r="O292">
        <v>18183.419999999998</v>
      </c>
      <c r="P292">
        <v>14931.44</v>
      </c>
      <c r="Q292" s="15"/>
    </row>
    <row r="293" spans="1:17" x14ac:dyDescent="0.25">
      <c r="A293">
        <v>2019</v>
      </c>
      <c r="B293">
        <v>2020</v>
      </c>
      <c r="C293" t="s">
        <v>133</v>
      </c>
      <c r="D293">
        <v>42522</v>
      </c>
      <c r="E293">
        <v>42</v>
      </c>
      <c r="F293">
        <v>46</v>
      </c>
      <c r="G293">
        <v>42</v>
      </c>
      <c r="H293">
        <v>4</v>
      </c>
      <c r="I293">
        <v>0</v>
      </c>
      <c r="J293">
        <v>0</v>
      </c>
      <c r="K293">
        <v>0</v>
      </c>
      <c r="L293">
        <v>3</v>
      </c>
      <c r="M293">
        <v>3</v>
      </c>
      <c r="N293">
        <v>3</v>
      </c>
      <c r="O293">
        <v>18759.64</v>
      </c>
      <c r="P293">
        <v>17536.27</v>
      </c>
      <c r="Q293" s="15"/>
    </row>
    <row r="294" spans="1:17" x14ac:dyDescent="0.25">
      <c r="A294">
        <v>2019</v>
      </c>
      <c r="B294">
        <v>2020</v>
      </c>
      <c r="C294" t="s">
        <v>133</v>
      </c>
      <c r="D294">
        <v>42525</v>
      </c>
      <c r="E294">
        <v>42</v>
      </c>
      <c r="F294">
        <v>108</v>
      </c>
      <c r="G294">
        <v>91</v>
      </c>
      <c r="H294">
        <v>13</v>
      </c>
      <c r="I294">
        <v>1</v>
      </c>
      <c r="J294">
        <v>3</v>
      </c>
      <c r="K294">
        <v>3</v>
      </c>
      <c r="L294">
        <v>6</v>
      </c>
      <c r="M294">
        <v>6</v>
      </c>
      <c r="N294">
        <v>6</v>
      </c>
      <c r="O294">
        <v>16368.87</v>
      </c>
      <c r="P294">
        <v>15545.23</v>
      </c>
      <c r="Q294" s="15"/>
    </row>
    <row r="295" spans="1:17" x14ac:dyDescent="0.25">
      <c r="A295">
        <v>2019</v>
      </c>
      <c r="B295">
        <v>2020</v>
      </c>
      <c r="C295" t="s">
        <v>133</v>
      </c>
      <c r="D295">
        <v>42582</v>
      </c>
      <c r="E295">
        <v>42</v>
      </c>
      <c r="F295">
        <v>119</v>
      </c>
      <c r="G295">
        <v>112</v>
      </c>
      <c r="H295">
        <v>5</v>
      </c>
      <c r="I295">
        <v>1</v>
      </c>
      <c r="J295">
        <v>1</v>
      </c>
      <c r="K295">
        <v>1</v>
      </c>
      <c r="L295">
        <v>25</v>
      </c>
      <c r="M295">
        <v>18</v>
      </c>
      <c r="N295">
        <v>17</v>
      </c>
      <c r="O295">
        <v>20625.009999999998</v>
      </c>
      <c r="P295">
        <v>19556.939999999999</v>
      </c>
      <c r="Q295" s="15"/>
    </row>
    <row r="296" spans="1:17" x14ac:dyDescent="0.25">
      <c r="A296">
        <v>2019</v>
      </c>
      <c r="B296">
        <v>2020</v>
      </c>
      <c r="C296" t="s">
        <v>133</v>
      </c>
      <c r="D296">
        <v>42861</v>
      </c>
      <c r="E296">
        <v>42</v>
      </c>
      <c r="F296">
        <v>120</v>
      </c>
      <c r="G296">
        <v>106</v>
      </c>
      <c r="H296">
        <v>13</v>
      </c>
      <c r="I296">
        <v>0</v>
      </c>
      <c r="J296">
        <v>1</v>
      </c>
      <c r="K296">
        <v>0</v>
      </c>
      <c r="L296">
        <v>8</v>
      </c>
      <c r="M296">
        <v>4</v>
      </c>
      <c r="N296">
        <v>4</v>
      </c>
      <c r="O296">
        <v>13514.66</v>
      </c>
      <c r="P296">
        <v>12581.48</v>
      </c>
      <c r="Q296" s="15"/>
    </row>
    <row r="297" spans="1:17" x14ac:dyDescent="0.25">
      <c r="A297">
        <v>2019</v>
      </c>
      <c r="B297">
        <v>2020</v>
      </c>
      <c r="C297" t="s">
        <v>133</v>
      </c>
      <c r="D297">
        <v>43345</v>
      </c>
      <c r="E297">
        <v>43</v>
      </c>
      <c r="F297">
        <v>76</v>
      </c>
      <c r="G297">
        <v>46</v>
      </c>
      <c r="H297">
        <v>10</v>
      </c>
      <c r="I297">
        <v>2</v>
      </c>
      <c r="J297">
        <v>18</v>
      </c>
      <c r="K297">
        <v>11</v>
      </c>
      <c r="L297">
        <v>6</v>
      </c>
      <c r="M297">
        <v>5</v>
      </c>
      <c r="N297">
        <v>5</v>
      </c>
      <c r="O297">
        <v>16991.03</v>
      </c>
      <c r="P297">
        <v>14650.11</v>
      </c>
      <c r="Q297" s="15"/>
    </row>
    <row r="298" spans="1:17" x14ac:dyDescent="0.25">
      <c r="A298">
        <v>2019</v>
      </c>
      <c r="B298">
        <v>2020</v>
      </c>
      <c r="C298" t="s">
        <v>133</v>
      </c>
      <c r="D298">
        <v>43481</v>
      </c>
      <c r="E298">
        <v>43</v>
      </c>
      <c r="F298">
        <v>133</v>
      </c>
      <c r="G298">
        <v>114</v>
      </c>
      <c r="H298">
        <v>13</v>
      </c>
      <c r="I298">
        <v>1</v>
      </c>
      <c r="J298">
        <v>5</v>
      </c>
      <c r="K298">
        <v>5</v>
      </c>
      <c r="L298">
        <v>9</v>
      </c>
      <c r="M298">
        <v>7</v>
      </c>
      <c r="N298">
        <v>6</v>
      </c>
      <c r="O298">
        <v>17614.55</v>
      </c>
      <c r="P298">
        <v>16506.04</v>
      </c>
      <c r="Q298" s="15"/>
    </row>
    <row r="299" spans="1:17" x14ac:dyDescent="0.25">
      <c r="A299">
        <v>2019</v>
      </c>
      <c r="B299">
        <v>2020</v>
      </c>
      <c r="C299" t="s">
        <v>133</v>
      </c>
      <c r="D299">
        <v>43522</v>
      </c>
      <c r="E299">
        <v>43</v>
      </c>
      <c r="F299">
        <v>60</v>
      </c>
      <c r="G299">
        <v>47</v>
      </c>
      <c r="H299">
        <v>13</v>
      </c>
      <c r="I299">
        <v>0</v>
      </c>
      <c r="J299">
        <v>0</v>
      </c>
      <c r="K299">
        <v>0</v>
      </c>
      <c r="L299">
        <v>10</v>
      </c>
      <c r="M299">
        <v>5</v>
      </c>
      <c r="N299">
        <v>5</v>
      </c>
      <c r="O299">
        <v>23341.55</v>
      </c>
      <c r="P299">
        <v>16167.31</v>
      </c>
      <c r="Q299" s="15"/>
    </row>
    <row r="300" spans="1:17" x14ac:dyDescent="0.25">
      <c r="A300">
        <v>2019</v>
      </c>
      <c r="B300">
        <v>2020</v>
      </c>
      <c r="C300" t="s">
        <v>133</v>
      </c>
      <c r="D300">
        <v>43523</v>
      </c>
      <c r="E300">
        <v>43</v>
      </c>
      <c r="F300">
        <v>70</v>
      </c>
      <c r="G300">
        <v>53</v>
      </c>
      <c r="H300">
        <v>11</v>
      </c>
      <c r="I300">
        <v>0</v>
      </c>
      <c r="J300">
        <v>6</v>
      </c>
      <c r="K300">
        <v>2</v>
      </c>
      <c r="L300">
        <v>1</v>
      </c>
      <c r="M300">
        <v>1</v>
      </c>
      <c r="N300">
        <v>1</v>
      </c>
      <c r="O300">
        <v>17242.349999999999</v>
      </c>
      <c r="P300">
        <v>15729.7</v>
      </c>
      <c r="Q300" s="15"/>
    </row>
    <row r="301" spans="1:17" x14ac:dyDescent="0.25">
      <c r="A301">
        <v>2019</v>
      </c>
      <c r="B301">
        <v>2020</v>
      </c>
      <c r="C301" t="s">
        <v>133</v>
      </c>
      <c r="D301">
        <v>47345</v>
      </c>
      <c r="E301">
        <v>47</v>
      </c>
      <c r="F301">
        <v>93</v>
      </c>
      <c r="G301">
        <v>86</v>
      </c>
      <c r="H301">
        <v>5</v>
      </c>
      <c r="I301">
        <v>1</v>
      </c>
      <c r="J301">
        <v>1</v>
      </c>
      <c r="K301">
        <v>1</v>
      </c>
      <c r="L301">
        <v>20</v>
      </c>
      <c r="M301">
        <v>14</v>
      </c>
      <c r="N301">
        <v>14</v>
      </c>
      <c r="O301">
        <v>34284.589999999997</v>
      </c>
      <c r="P301">
        <v>25535.16</v>
      </c>
      <c r="Q301" s="15"/>
    </row>
    <row r="302" spans="1:17" x14ac:dyDescent="0.25">
      <c r="A302">
        <v>2019</v>
      </c>
      <c r="B302">
        <v>2020</v>
      </c>
      <c r="C302" t="s">
        <v>133</v>
      </c>
      <c r="D302">
        <v>47582</v>
      </c>
      <c r="E302">
        <v>47</v>
      </c>
      <c r="F302">
        <v>49</v>
      </c>
      <c r="G302">
        <v>44</v>
      </c>
      <c r="H302">
        <v>2</v>
      </c>
      <c r="I302">
        <v>0</v>
      </c>
      <c r="J302">
        <v>3</v>
      </c>
      <c r="K302">
        <v>5</v>
      </c>
      <c r="L302">
        <v>8</v>
      </c>
      <c r="M302">
        <v>5</v>
      </c>
      <c r="N302">
        <v>5</v>
      </c>
      <c r="O302">
        <v>23815.99</v>
      </c>
      <c r="P302">
        <v>20998.57</v>
      </c>
      <c r="Q302" s="15"/>
    </row>
    <row r="303" spans="1:17" x14ac:dyDescent="0.25">
      <c r="A303">
        <v>2019</v>
      </c>
      <c r="B303">
        <v>2020</v>
      </c>
      <c r="C303" t="s">
        <v>133</v>
      </c>
      <c r="D303">
        <v>47861</v>
      </c>
      <c r="E303">
        <v>47</v>
      </c>
      <c r="F303">
        <v>35</v>
      </c>
      <c r="G303">
        <v>34</v>
      </c>
      <c r="H303">
        <v>1</v>
      </c>
      <c r="I303">
        <v>0</v>
      </c>
      <c r="J303">
        <v>0</v>
      </c>
      <c r="K303">
        <v>0</v>
      </c>
      <c r="L303">
        <v>4</v>
      </c>
      <c r="M303">
        <v>3</v>
      </c>
      <c r="N303">
        <v>3</v>
      </c>
      <c r="O303">
        <v>16899.61</v>
      </c>
      <c r="P303">
        <v>16014.28</v>
      </c>
      <c r="Q303" s="15"/>
    </row>
    <row r="304" spans="1:17" x14ac:dyDescent="0.25">
      <c r="A304">
        <v>2019</v>
      </c>
      <c r="B304">
        <v>2020</v>
      </c>
      <c r="C304" t="s">
        <v>132</v>
      </c>
      <c r="D304">
        <v>42380</v>
      </c>
      <c r="E304">
        <v>42</v>
      </c>
      <c r="F304">
        <v>55</v>
      </c>
      <c r="G304">
        <v>46</v>
      </c>
      <c r="H304">
        <v>7</v>
      </c>
      <c r="I304">
        <v>1</v>
      </c>
      <c r="J304">
        <v>1</v>
      </c>
      <c r="K304">
        <v>0</v>
      </c>
      <c r="L304">
        <v>2</v>
      </c>
      <c r="M304">
        <v>2</v>
      </c>
      <c r="N304">
        <v>2</v>
      </c>
      <c r="O304">
        <v>13683.83</v>
      </c>
      <c r="P304">
        <v>13431.5</v>
      </c>
      <c r="Q304" s="15"/>
    </row>
    <row r="305" spans="1:17" x14ac:dyDescent="0.25">
      <c r="A305">
        <v>2019</v>
      </c>
      <c r="B305">
        <v>2020</v>
      </c>
      <c r="C305" t="s">
        <v>132</v>
      </c>
      <c r="D305">
        <v>42722</v>
      </c>
      <c r="E305">
        <v>42</v>
      </c>
      <c r="F305">
        <v>123</v>
      </c>
      <c r="G305">
        <v>111</v>
      </c>
      <c r="H305">
        <v>10</v>
      </c>
      <c r="I305">
        <v>2</v>
      </c>
      <c r="J305">
        <v>0</v>
      </c>
      <c r="K305">
        <v>0</v>
      </c>
      <c r="L305">
        <v>10</v>
      </c>
      <c r="M305">
        <v>10</v>
      </c>
      <c r="N305">
        <v>9</v>
      </c>
      <c r="O305">
        <v>15814.78</v>
      </c>
      <c r="P305">
        <v>12471.78</v>
      </c>
      <c r="Q305" s="15"/>
    </row>
    <row r="306" spans="1:17" x14ac:dyDescent="0.25">
      <c r="A306">
        <v>2019</v>
      </c>
      <c r="B306">
        <v>2020</v>
      </c>
      <c r="C306" t="s">
        <v>132</v>
      </c>
      <c r="D306">
        <v>42723</v>
      </c>
      <c r="E306">
        <v>42</v>
      </c>
      <c r="F306">
        <v>130</v>
      </c>
      <c r="G306">
        <v>119</v>
      </c>
      <c r="H306">
        <v>8</v>
      </c>
      <c r="I306">
        <v>1</v>
      </c>
      <c r="J306">
        <v>2</v>
      </c>
      <c r="K306">
        <v>2</v>
      </c>
      <c r="L306">
        <v>4</v>
      </c>
      <c r="M306">
        <v>4</v>
      </c>
      <c r="N306">
        <v>4</v>
      </c>
      <c r="O306">
        <v>16322.55</v>
      </c>
      <c r="P306">
        <v>15881.05</v>
      </c>
      <c r="Q306" s="15"/>
    </row>
    <row r="307" spans="1:17" x14ac:dyDescent="0.25">
      <c r="A307">
        <v>2019</v>
      </c>
      <c r="B307">
        <v>2020</v>
      </c>
      <c r="C307" t="s">
        <v>132</v>
      </c>
      <c r="D307">
        <v>43380</v>
      </c>
      <c r="E307">
        <v>43</v>
      </c>
      <c r="F307">
        <v>65</v>
      </c>
      <c r="G307">
        <v>57</v>
      </c>
      <c r="H307">
        <v>5</v>
      </c>
      <c r="I307">
        <v>0</v>
      </c>
      <c r="J307">
        <v>3</v>
      </c>
      <c r="K307">
        <v>0</v>
      </c>
      <c r="L307">
        <v>10</v>
      </c>
      <c r="M307">
        <v>7</v>
      </c>
      <c r="N307">
        <v>6</v>
      </c>
      <c r="O307">
        <v>19419.39</v>
      </c>
      <c r="P307">
        <v>18985.669999999998</v>
      </c>
      <c r="Q307" s="15"/>
    </row>
    <row r="308" spans="1:17" x14ac:dyDescent="0.25">
      <c r="A308">
        <v>2019</v>
      </c>
      <c r="B308">
        <v>2020</v>
      </c>
      <c r="C308" t="s">
        <v>132</v>
      </c>
      <c r="D308">
        <v>47345</v>
      </c>
      <c r="E308">
        <v>47</v>
      </c>
      <c r="F308">
        <v>43</v>
      </c>
      <c r="G308">
        <v>39</v>
      </c>
      <c r="H308">
        <v>4</v>
      </c>
      <c r="I308">
        <v>0</v>
      </c>
      <c r="J308">
        <v>0</v>
      </c>
      <c r="K308">
        <v>0</v>
      </c>
      <c r="L308">
        <v>9</v>
      </c>
      <c r="M308">
        <v>8</v>
      </c>
      <c r="N308">
        <v>8</v>
      </c>
      <c r="O308">
        <v>21313.81</v>
      </c>
      <c r="P308">
        <v>17123.39</v>
      </c>
      <c r="Q308" s="15"/>
    </row>
    <row r="309" spans="1:17" x14ac:dyDescent="0.25">
      <c r="A309">
        <v>2019</v>
      </c>
      <c r="B309">
        <v>2020</v>
      </c>
      <c r="C309" t="s">
        <v>132</v>
      </c>
      <c r="D309">
        <v>47380</v>
      </c>
      <c r="E309">
        <v>47</v>
      </c>
      <c r="F309">
        <v>103</v>
      </c>
      <c r="G309">
        <v>98</v>
      </c>
      <c r="H309">
        <v>2</v>
      </c>
      <c r="I309">
        <v>0</v>
      </c>
      <c r="J309">
        <v>3</v>
      </c>
      <c r="K309">
        <v>1</v>
      </c>
      <c r="L309">
        <v>5</v>
      </c>
      <c r="M309">
        <v>4</v>
      </c>
      <c r="N309">
        <v>4</v>
      </c>
      <c r="O309">
        <v>20842.32</v>
      </c>
      <c r="P309">
        <v>18377.16</v>
      </c>
      <c r="Q309" s="15"/>
    </row>
    <row r="310" spans="1:17" x14ac:dyDescent="0.25">
      <c r="A310">
        <v>2019</v>
      </c>
      <c r="B310">
        <v>2020</v>
      </c>
      <c r="C310" t="s">
        <v>132</v>
      </c>
      <c r="D310">
        <v>47721</v>
      </c>
      <c r="E310">
        <v>47</v>
      </c>
      <c r="F310">
        <v>134</v>
      </c>
      <c r="G310">
        <v>128</v>
      </c>
      <c r="H310">
        <v>1</v>
      </c>
      <c r="I310">
        <v>0</v>
      </c>
      <c r="J310">
        <v>5</v>
      </c>
      <c r="K310">
        <v>1</v>
      </c>
      <c r="L310">
        <v>19</v>
      </c>
      <c r="M310">
        <v>17</v>
      </c>
      <c r="N310">
        <v>17</v>
      </c>
      <c r="O310">
        <v>38933.730000000003</v>
      </c>
      <c r="P310">
        <v>36599.11</v>
      </c>
      <c r="Q310" s="15"/>
    </row>
    <row r="311" spans="1:17" x14ac:dyDescent="0.25">
      <c r="A311">
        <v>2019</v>
      </c>
      <c r="B311">
        <v>2020</v>
      </c>
      <c r="C311" t="s">
        <v>132</v>
      </c>
      <c r="D311">
        <v>49721</v>
      </c>
      <c r="E311">
        <v>49</v>
      </c>
      <c r="F311">
        <v>367</v>
      </c>
      <c r="G311">
        <v>156</v>
      </c>
      <c r="H311">
        <v>24</v>
      </c>
      <c r="I311">
        <v>7</v>
      </c>
      <c r="J311">
        <v>180</v>
      </c>
      <c r="K311">
        <v>7</v>
      </c>
      <c r="L311">
        <v>4</v>
      </c>
      <c r="M311">
        <v>4</v>
      </c>
      <c r="N311">
        <v>4</v>
      </c>
      <c r="O311">
        <v>21383.83</v>
      </c>
      <c r="P311">
        <v>18939.09</v>
      </c>
      <c r="Q311" s="15"/>
    </row>
    <row r="312" spans="1:17" x14ac:dyDescent="0.25">
      <c r="A312">
        <v>2019</v>
      </c>
      <c r="B312">
        <v>2020</v>
      </c>
      <c r="C312" t="s">
        <v>131</v>
      </c>
      <c r="D312">
        <v>41813</v>
      </c>
      <c r="E312">
        <v>41</v>
      </c>
      <c r="F312">
        <v>57</v>
      </c>
      <c r="G312">
        <v>45</v>
      </c>
      <c r="H312">
        <v>7</v>
      </c>
      <c r="I312">
        <v>0</v>
      </c>
      <c r="J312">
        <v>5</v>
      </c>
      <c r="K312">
        <v>3</v>
      </c>
      <c r="L312">
        <v>11</v>
      </c>
      <c r="M312">
        <v>7</v>
      </c>
      <c r="N312">
        <v>6</v>
      </c>
      <c r="O312">
        <v>17500.88</v>
      </c>
      <c r="P312">
        <v>11500.55</v>
      </c>
      <c r="Q312" s="15"/>
    </row>
    <row r="313" spans="1:17" x14ac:dyDescent="0.25">
      <c r="A313">
        <v>2019</v>
      </c>
      <c r="B313">
        <v>2020</v>
      </c>
      <c r="C313" t="s">
        <v>131</v>
      </c>
      <c r="D313">
        <v>42722</v>
      </c>
      <c r="E313">
        <v>42</v>
      </c>
      <c r="F313">
        <v>54</v>
      </c>
      <c r="G313">
        <v>43</v>
      </c>
      <c r="H313">
        <v>10</v>
      </c>
      <c r="I313">
        <v>0</v>
      </c>
      <c r="J313">
        <v>1</v>
      </c>
      <c r="K313">
        <v>1</v>
      </c>
      <c r="L313">
        <v>8</v>
      </c>
      <c r="M313">
        <v>8</v>
      </c>
      <c r="N313">
        <v>8</v>
      </c>
      <c r="O313">
        <v>13220.27</v>
      </c>
      <c r="P313">
        <v>12271.78</v>
      </c>
      <c r="Q313" s="15"/>
    </row>
    <row r="314" spans="1:17" x14ac:dyDescent="0.25">
      <c r="A314">
        <v>2019</v>
      </c>
      <c r="B314">
        <v>2020</v>
      </c>
      <c r="C314" t="s">
        <v>131</v>
      </c>
      <c r="D314">
        <v>42813</v>
      </c>
      <c r="E314">
        <v>42</v>
      </c>
      <c r="F314">
        <v>68</v>
      </c>
      <c r="G314">
        <v>62</v>
      </c>
      <c r="H314">
        <v>5</v>
      </c>
      <c r="I314">
        <v>0</v>
      </c>
      <c r="J314">
        <v>1</v>
      </c>
      <c r="K314">
        <v>1</v>
      </c>
      <c r="L314">
        <v>5</v>
      </c>
      <c r="M314">
        <v>5</v>
      </c>
      <c r="N314">
        <v>5</v>
      </c>
      <c r="O314">
        <v>12739.12</v>
      </c>
      <c r="P314">
        <v>12085.76</v>
      </c>
      <c r="Q314" s="15"/>
    </row>
    <row r="315" spans="1:17" x14ac:dyDescent="0.25">
      <c r="A315">
        <v>2019</v>
      </c>
      <c r="B315">
        <v>2020</v>
      </c>
      <c r="C315" t="s">
        <v>130</v>
      </c>
      <c r="D315">
        <v>43211</v>
      </c>
      <c r="E315">
        <v>43</v>
      </c>
      <c r="F315">
        <v>111</v>
      </c>
      <c r="G315">
        <v>79</v>
      </c>
      <c r="H315">
        <v>23</v>
      </c>
      <c r="I315">
        <v>2</v>
      </c>
      <c r="J315">
        <v>7</v>
      </c>
      <c r="K315">
        <v>0</v>
      </c>
      <c r="L315">
        <v>10</v>
      </c>
      <c r="M315">
        <v>9</v>
      </c>
      <c r="N315">
        <v>9</v>
      </c>
      <c r="O315">
        <v>8589.81</v>
      </c>
      <c r="P315">
        <v>6661.68</v>
      </c>
      <c r="Q315" s="15"/>
    </row>
    <row r="316" spans="1:17" x14ac:dyDescent="0.25">
      <c r="A316">
        <v>2019</v>
      </c>
      <c r="B316">
        <v>2020</v>
      </c>
      <c r="C316" t="s">
        <v>130</v>
      </c>
      <c r="D316">
        <v>45211</v>
      </c>
      <c r="E316">
        <v>45</v>
      </c>
      <c r="F316">
        <v>75</v>
      </c>
      <c r="G316">
        <v>57</v>
      </c>
      <c r="H316">
        <v>11</v>
      </c>
      <c r="I316">
        <v>1</v>
      </c>
      <c r="J316">
        <v>6</v>
      </c>
      <c r="K316">
        <v>0</v>
      </c>
      <c r="L316">
        <v>14</v>
      </c>
      <c r="M316">
        <v>12</v>
      </c>
      <c r="N316">
        <v>12</v>
      </c>
      <c r="O316">
        <v>9948.92</v>
      </c>
      <c r="P316">
        <v>8862.7000000000007</v>
      </c>
      <c r="Q316" s="15"/>
    </row>
    <row r="317" spans="1:17" x14ac:dyDescent="0.25">
      <c r="A317">
        <v>2019</v>
      </c>
      <c r="B317">
        <v>2020</v>
      </c>
      <c r="C317" t="s">
        <v>129</v>
      </c>
      <c r="D317">
        <v>42141</v>
      </c>
      <c r="E317">
        <v>42</v>
      </c>
      <c r="F317">
        <v>54</v>
      </c>
      <c r="G317">
        <v>50</v>
      </c>
      <c r="H317">
        <v>3</v>
      </c>
      <c r="I317">
        <v>0</v>
      </c>
      <c r="J317">
        <v>1</v>
      </c>
      <c r="K317">
        <v>0</v>
      </c>
      <c r="L317">
        <v>4</v>
      </c>
      <c r="M317">
        <v>4</v>
      </c>
      <c r="N317">
        <v>3</v>
      </c>
      <c r="O317">
        <v>10987.48</v>
      </c>
      <c r="P317">
        <v>9123.09</v>
      </c>
      <c r="Q317" s="15"/>
    </row>
    <row r="318" spans="1:17" x14ac:dyDescent="0.25">
      <c r="A318">
        <v>2019</v>
      </c>
      <c r="B318">
        <v>2020</v>
      </c>
      <c r="C318" t="s">
        <v>129</v>
      </c>
      <c r="D318">
        <v>42212</v>
      </c>
      <c r="E318">
        <v>42</v>
      </c>
      <c r="F318">
        <v>57</v>
      </c>
      <c r="G318">
        <v>50</v>
      </c>
      <c r="H318">
        <v>5</v>
      </c>
      <c r="I318">
        <v>0</v>
      </c>
      <c r="J318">
        <v>2</v>
      </c>
      <c r="K318">
        <v>1</v>
      </c>
      <c r="L318">
        <v>3</v>
      </c>
      <c r="M318">
        <v>3</v>
      </c>
      <c r="N318">
        <v>1</v>
      </c>
      <c r="O318">
        <v>13772.26</v>
      </c>
      <c r="P318">
        <v>11390.76</v>
      </c>
      <c r="Q318" s="15"/>
    </row>
    <row r="319" spans="1:17" x14ac:dyDescent="0.25">
      <c r="A319">
        <v>2019</v>
      </c>
      <c r="B319">
        <v>2020</v>
      </c>
      <c r="C319" t="s">
        <v>129</v>
      </c>
      <c r="D319">
        <v>47212</v>
      </c>
      <c r="E319">
        <v>47</v>
      </c>
      <c r="F319">
        <v>39</v>
      </c>
      <c r="G319">
        <v>36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15445.41</v>
      </c>
      <c r="P319">
        <v>14288.96</v>
      </c>
      <c r="Q319" s="15"/>
    </row>
    <row r="320" spans="1:17" x14ac:dyDescent="0.25">
      <c r="A320">
        <v>2019</v>
      </c>
      <c r="B320">
        <v>2020</v>
      </c>
      <c r="C320" t="s">
        <v>128</v>
      </c>
      <c r="D320">
        <v>43212</v>
      </c>
      <c r="E320">
        <v>43</v>
      </c>
      <c r="F320">
        <v>58</v>
      </c>
      <c r="G320">
        <v>44</v>
      </c>
      <c r="H320">
        <v>12</v>
      </c>
      <c r="I320">
        <v>1</v>
      </c>
      <c r="J320">
        <v>1</v>
      </c>
      <c r="K320">
        <v>0</v>
      </c>
      <c r="L320">
        <v>2</v>
      </c>
      <c r="M320">
        <v>2</v>
      </c>
      <c r="N320">
        <v>2</v>
      </c>
      <c r="O320">
        <v>9453.9699999999993</v>
      </c>
      <c r="P320">
        <v>8433.06</v>
      </c>
      <c r="Q320" s="15"/>
    </row>
    <row r="321" spans="1:17" x14ac:dyDescent="0.25">
      <c r="A321">
        <v>2019</v>
      </c>
      <c r="B321">
        <v>2020</v>
      </c>
      <c r="C321" t="s">
        <v>128</v>
      </c>
      <c r="D321">
        <v>43213</v>
      </c>
      <c r="E321">
        <v>43</v>
      </c>
      <c r="F321">
        <v>40</v>
      </c>
      <c r="G321">
        <v>33</v>
      </c>
      <c r="H321">
        <v>5</v>
      </c>
      <c r="I321">
        <v>1</v>
      </c>
      <c r="J321">
        <v>1</v>
      </c>
      <c r="K321">
        <v>0</v>
      </c>
      <c r="L321">
        <v>6</v>
      </c>
      <c r="M321">
        <v>4</v>
      </c>
      <c r="N321">
        <v>4</v>
      </c>
      <c r="O321">
        <v>8551.1200000000008</v>
      </c>
      <c r="P321">
        <v>6235.9</v>
      </c>
      <c r="Q321" s="15"/>
    </row>
    <row r="322" spans="1:17" x14ac:dyDescent="0.25">
      <c r="A322">
        <v>2019</v>
      </c>
      <c r="B322">
        <v>2020</v>
      </c>
      <c r="C322" t="s">
        <v>127</v>
      </c>
      <c r="D322">
        <v>42343</v>
      </c>
      <c r="E322">
        <v>42</v>
      </c>
      <c r="F322">
        <v>107</v>
      </c>
      <c r="G322">
        <v>90</v>
      </c>
      <c r="H322">
        <v>14</v>
      </c>
      <c r="I322">
        <v>2</v>
      </c>
      <c r="J322">
        <v>1</v>
      </c>
      <c r="K322">
        <v>2</v>
      </c>
      <c r="L322">
        <v>18</v>
      </c>
      <c r="M322">
        <v>14</v>
      </c>
      <c r="N322">
        <v>14</v>
      </c>
      <c r="O322">
        <v>17648.45</v>
      </c>
      <c r="P322">
        <v>17179.080000000002</v>
      </c>
      <c r="Q322" s="15"/>
    </row>
    <row r="323" spans="1:17" x14ac:dyDescent="0.25">
      <c r="A323">
        <v>2019</v>
      </c>
      <c r="B323">
        <v>2020</v>
      </c>
      <c r="C323" t="s">
        <v>127</v>
      </c>
      <c r="D323">
        <v>42345</v>
      </c>
      <c r="E323">
        <v>42</v>
      </c>
      <c r="F323">
        <v>53</v>
      </c>
      <c r="G323">
        <v>48</v>
      </c>
      <c r="H323">
        <v>5</v>
      </c>
      <c r="I323">
        <v>0</v>
      </c>
      <c r="J323">
        <v>0</v>
      </c>
      <c r="K323">
        <v>0</v>
      </c>
      <c r="L323">
        <v>8</v>
      </c>
      <c r="M323">
        <v>6</v>
      </c>
      <c r="N323">
        <v>6</v>
      </c>
      <c r="O323">
        <v>16348.9</v>
      </c>
      <c r="P323">
        <v>14044.6</v>
      </c>
      <c r="Q323" s="15"/>
    </row>
    <row r="324" spans="1:17" x14ac:dyDescent="0.25">
      <c r="A324">
        <v>2019</v>
      </c>
      <c r="B324">
        <v>2020</v>
      </c>
      <c r="C324" t="s">
        <v>127</v>
      </c>
      <c r="D324">
        <v>47343</v>
      </c>
      <c r="E324">
        <v>47</v>
      </c>
      <c r="F324">
        <v>73</v>
      </c>
      <c r="G324">
        <v>64</v>
      </c>
      <c r="H324">
        <v>6</v>
      </c>
      <c r="I324">
        <v>0</v>
      </c>
      <c r="J324">
        <v>3</v>
      </c>
      <c r="K324">
        <v>2</v>
      </c>
      <c r="L324">
        <v>13</v>
      </c>
      <c r="M324">
        <v>10</v>
      </c>
      <c r="N324">
        <v>10</v>
      </c>
      <c r="O324">
        <v>27294.6</v>
      </c>
      <c r="P324">
        <v>21382.49</v>
      </c>
      <c r="Q324" s="15"/>
    </row>
    <row r="325" spans="1:17" x14ac:dyDescent="0.25">
      <c r="A325">
        <v>2019</v>
      </c>
      <c r="B325">
        <v>2020</v>
      </c>
      <c r="C325" t="s">
        <v>127</v>
      </c>
      <c r="D325">
        <v>47345</v>
      </c>
      <c r="E325">
        <v>47</v>
      </c>
      <c r="F325">
        <v>41</v>
      </c>
      <c r="G325">
        <v>37</v>
      </c>
      <c r="H325">
        <v>4</v>
      </c>
      <c r="I325">
        <v>0</v>
      </c>
      <c r="J325">
        <v>0</v>
      </c>
      <c r="K325">
        <v>0</v>
      </c>
      <c r="L325">
        <v>3</v>
      </c>
      <c r="M325">
        <v>3</v>
      </c>
      <c r="N325">
        <v>3</v>
      </c>
      <c r="O325">
        <v>28233.09</v>
      </c>
      <c r="P325">
        <v>22045.23</v>
      </c>
      <c r="Q325" s="15"/>
    </row>
    <row r="326" spans="1:17" x14ac:dyDescent="0.25">
      <c r="A326">
        <v>2019</v>
      </c>
      <c r="B326">
        <v>2020</v>
      </c>
      <c r="C326" t="s">
        <v>126</v>
      </c>
      <c r="D326">
        <v>42525</v>
      </c>
      <c r="E326">
        <v>42</v>
      </c>
      <c r="F326">
        <v>73</v>
      </c>
      <c r="G326">
        <v>71</v>
      </c>
      <c r="H326">
        <v>2</v>
      </c>
      <c r="I326">
        <v>0</v>
      </c>
      <c r="J326">
        <v>0</v>
      </c>
      <c r="K326">
        <v>1</v>
      </c>
      <c r="L326">
        <v>1</v>
      </c>
      <c r="M326">
        <v>1</v>
      </c>
      <c r="N326">
        <v>1</v>
      </c>
      <c r="O326">
        <v>7409.28</v>
      </c>
      <c r="P326">
        <v>6727.42</v>
      </c>
      <c r="Q326" s="15"/>
    </row>
    <row r="327" spans="1:17" x14ac:dyDescent="0.25">
      <c r="A327">
        <v>2019</v>
      </c>
      <c r="B327">
        <v>2020</v>
      </c>
      <c r="C327" t="s">
        <v>125</v>
      </c>
      <c r="D327">
        <v>42863</v>
      </c>
      <c r="E327">
        <v>42</v>
      </c>
      <c r="F327">
        <v>35</v>
      </c>
      <c r="G327">
        <v>35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20442.8</v>
      </c>
      <c r="P327">
        <v>20708.080000000002</v>
      </c>
      <c r="Q327" s="15"/>
    </row>
    <row r="328" spans="1:17" x14ac:dyDescent="0.25">
      <c r="A328">
        <v>2019</v>
      </c>
      <c r="B328">
        <v>2020</v>
      </c>
      <c r="C328" t="s">
        <v>124</v>
      </c>
      <c r="D328">
        <v>42345</v>
      </c>
      <c r="E328">
        <v>42</v>
      </c>
      <c r="F328">
        <v>44</v>
      </c>
      <c r="G328">
        <v>31</v>
      </c>
      <c r="H328">
        <v>9</v>
      </c>
      <c r="I328">
        <v>0</v>
      </c>
      <c r="J328">
        <v>4</v>
      </c>
      <c r="K328">
        <v>4</v>
      </c>
      <c r="L328">
        <v>20</v>
      </c>
      <c r="M328">
        <v>10</v>
      </c>
      <c r="N328">
        <v>9</v>
      </c>
      <c r="O328">
        <v>17509.05</v>
      </c>
      <c r="P328">
        <v>13952.28</v>
      </c>
      <c r="Q328" s="15"/>
    </row>
    <row r="329" spans="1:17" x14ac:dyDescent="0.25">
      <c r="A329">
        <v>2019</v>
      </c>
      <c r="B329">
        <v>2020</v>
      </c>
      <c r="C329" t="s">
        <v>124</v>
      </c>
      <c r="D329">
        <v>42380</v>
      </c>
      <c r="E329">
        <v>42</v>
      </c>
      <c r="F329">
        <v>97</v>
      </c>
      <c r="G329">
        <v>87</v>
      </c>
      <c r="H329">
        <v>6</v>
      </c>
      <c r="I329">
        <v>1</v>
      </c>
      <c r="J329">
        <v>3</v>
      </c>
      <c r="K329">
        <v>3</v>
      </c>
      <c r="L329">
        <v>13</v>
      </c>
      <c r="M329">
        <v>10</v>
      </c>
      <c r="N329">
        <v>8</v>
      </c>
      <c r="O329">
        <v>16916.189999999999</v>
      </c>
      <c r="P329">
        <v>15555.98</v>
      </c>
      <c r="Q329" s="15"/>
    </row>
    <row r="330" spans="1:17" x14ac:dyDescent="0.25">
      <c r="A330">
        <v>2019</v>
      </c>
      <c r="B330">
        <v>2020</v>
      </c>
      <c r="C330" t="s">
        <v>124</v>
      </c>
      <c r="D330">
        <v>42762</v>
      </c>
      <c r="E330">
        <v>42</v>
      </c>
      <c r="F330">
        <v>55</v>
      </c>
      <c r="G330">
        <v>51</v>
      </c>
      <c r="H330">
        <v>2</v>
      </c>
      <c r="I330">
        <v>0</v>
      </c>
      <c r="J330">
        <v>2</v>
      </c>
      <c r="K330">
        <v>0</v>
      </c>
      <c r="L330">
        <v>2</v>
      </c>
      <c r="M330">
        <v>2</v>
      </c>
      <c r="N330">
        <v>2</v>
      </c>
      <c r="O330">
        <v>11389.5</v>
      </c>
      <c r="P330">
        <v>11683.61</v>
      </c>
      <c r="Q330" s="15"/>
    </row>
    <row r="331" spans="1:17" x14ac:dyDescent="0.25">
      <c r="A331">
        <v>2019</v>
      </c>
      <c r="B331">
        <v>2020</v>
      </c>
      <c r="C331" t="s">
        <v>124</v>
      </c>
      <c r="D331">
        <v>47380</v>
      </c>
      <c r="E331">
        <v>47</v>
      </c>
      <c r="F331">
        <v>69</v>
      </c>
      <c r="G331">
        <v>63</v>
      </c>
      <c r="H331">
        <v>2</v>
      </c>
      <c r="I331">
        <v>1</v>
      </c>
      <c r="J331">
        <v>3</v>
      </c>
      <c r="K331">
        <v>1</v>
      </c>
      <c r="L331">
        <v>9</v>
      </c>
      <c r="M331">
        <v>9</v>
      </c>
      <c r="N331">
        <v>9</v>
      </c>
      <c r="O331">
        <v>21250.32</v>
      </c>
      <c r="P331">
        <v>17409.560000000001</v>
      </c>
      <c r="Q331" s="15"/>
    </row>
    <row r="332" spans="1:17" x14ac:dyDescent="0.25">
      <c r="A332">
        <v>2019</v>
      </c>
      <c r="B332">
        <v>2020</v>
      </c>
      <c r="C332" t="s">
        <v>123</v>
      </c>
      <c r="D332">
        <v>42345</v>
      </c>
      <c r="E332">
        <v>42</v>
      </c>
      <c r="F332">
        <v>69</v>
      </c>
      <c r="G332">
        <v>42</v>
      </c>
      <c r="H332">
        <v>12</v>
      </c>
      <c r="I332">
        <v>0</v>
      </c>
      <c r="J332">
        <v>15</v>
      </c>
      <c r="K332">
        <v>14</v>
      </c>
      <c r="L332">
        <v>11</v>
      </c>
      <c r="M332">
        <v>10</v>
      </c>
      <c r="N332">
        <v>9</v>
      </c>
      <c r="O332">
        <v>14627.61</v>
      </c>
      <c r="P332">
        <v>10281.59</v>
      </c>
      <c r="Q332" s="15"/>
    </row>
    <row r="333" spans="1:17" x14ac:dyDescent="0.25">
      <c r="A333">
        <v>2019</v>
      </c>
      <c r="B333">
        <v>2020</v>
      </c>
      <c r="C333" t="s">
        <v>122</v>
      </c>
      <c r="D333">
        <v>41344</v>
      </c>
      <c r="E333">
        <v>41</v>
      </c>
      <c r="F333">
        <v>47</v>
      </c>
      <c r="G333">
        <v>38</v>
      </c>
      <c r="H333">
        <v>7</v>
      </c>
      <c r="I333">
        <v>0</v>
      </c>
      <c r="J333">
        <v>2</v>
      </c>
      <c r="K333">
        <v>0</v>
      </c>
      <c r="L333">
        <v>5</v>
      </c>
      <c r="M333">
        <v>5</v>
      </c>
      <c r="N333">
        <v>5</v>
      </c>
      <c r="O333">
        <v>14098.26</v>
      </c>
      <c r="P333">
        <v>11714.31</v>
      </c>
      <c r="Q333" s="15"/>
    </row>
    <row r="334" spans="1:17" x14ac:dyDescent="0.25">
      <c r="A334">
        <v>2019</v>
      </c>
      <c r="B334">
        <v>2020</v>
      </c>
      <c r="C334" t="s">
        <v>122</v>
      </c>
      <c r="D334">
        <v>42345</v>
      </c>
      <c r="E334">
        <v>42</v>
      </c>
      <c r="F334">
        <v>84</v>
      </c>
      <c r="G334">
        <v>63</v>
      </c>
      <c r="H334">
        <v>7</v>
      </c>
      <c r="I334">
        <v>1</v>
      </c>
      <c r="J334">
        <v>13</v>
      </c>
      <c r="K334">
        <v>7</v>
      </c>
      <c r="L334">
        <v>22</v>
      </c>
      <c r="M334">
        <v>16</v>
      </c>
      <c r="N334">
        <v>15</v>
      </c>
      <c r="O334">
        <v>21047.7</v>
      </c>
      <c r="P334">
        <v>13811.84</v>
      </c>
      <c r="Q334" s="15"/>
    </row>
    <row r="335" spans="1:17" x14ac:dyDescent="0.25">
      <c r="A335">
        <v>2019</v>
      </c>
      <c r="B335">
        <v>2020</v>
      </c>
      <c r="C335" t="s">
        <v>122</v>
      </c>
      <c r="D335">
        <v>42812</v>
      </c>
      <c r="E335">
        <v>42</v>
      </c>
      <c r="F335">
        <v>56</v>
      </c>
      <c r="G335">
        <v>33</v>
      </c>
      <c r="H335">
        <v>10</v>
      </c>
      <c r="I335">
        <v>0</v>
      </c>
      <c r="J335">
        <v>13</v>
      </c>
      <c r="K335">
        <v>10</v>
      </c>
      <c r="L335">
        <v>3</v>
      </c>
      <c r="M335">
        <v>3</v>
      </c>
      <c r="N335">
        <v>3</v>
      </c>
      <c r="O335">
        <v>9483.65</v>
      </c>
      <c r="P335">
        <v>8908.0400000000009</v>
      </c>
      <c r="Q335" s="15"/>
    </row>
    <row r="336" spans="1:17" x14ac:dyDescent="0.25">
      <c r="A336">
        <v>2019</v>
      </c>
      <c r="B336">
        <v>2020</v>
      </c>
      <c r="C336" t="s">
        <v>122</v>
      </c>
      <c r="D336">
        <v>47345</v>
      </c>
      <c r="E336">
        <v>47</v>
      </c>
      <c r="F336">
        <v>91</v>
      </c>
      <c r="G336">
        <v>45</v>
      </c>
      <c r="H336">
        <v>4</v>
      </c>
      <c r="I336">
        <v>2</v>
      </c>
      <c r="J336">
        <v>40</v>
      </c>
      <c r="K336">
        <v>43</v>
      </c>
      <c r="L336">
        <v>14</v>
      </c>
      <c r="M336">
        <v>13</v>
      </c>
      <c r="N336">
        <v>12</v>
      </c>
      <c r="O336">
        <v>22679.32</v>
      </c>
      <c r="P336">
        <v>18910.310000000001</v>
      </c>
      <c r="Q336" s="15"/>
    </row>
    <row r="337" spans="1:17" x14ac:dyDescent="0.25">
      <c r="A337">
        <v>2019</v>
      </c>
      <c r="B337">
        <v>2020</v>
      </c>
      <c r="C337" t="s">
        <v>121</v>
      </c>
      <c r="D337">
        <v>42310</v>
      </c>
      <c r="E337">
        <v>42</v>
      </c>
      <c r="F337">
        <v>38</v>
      </c>
      <c r="G337">
        <v>31</v>
      </c>
      <c r="H337">
        <v>4</v>
      </c>
      <c r="I337">
        <v>1</v>
      </c>
      <c r="J337">
        <v>2</v>
      </c>
      <c r="K337">
        <v>3</v>
      </c>
      <c r="L337">
        <v>7</v>
      </c>
      <c r="M337">
        <v>5</v>
      </c>
      <c r="N337">
        <v>5</v>
      </c>
      <c r="O337">
        <v>16182.32</v>
      </c>
      <c r="P337">
        <v>15297.03</v>
      </c>
      <c r="Q337" s="15"/>
    </row>
    <row r="338" spans="1:17" x14ac:dyDescent="0.25">
      <c r="A338">
        <v>2019</v>
      </c>
      <c r="B338">
        <v>2020</v>
      </c>
      <c r="C338" t="s">
        <v>120</v>
      </c>
      <c r="D338">
        <v>42840</v>
      </c>
      <c r="E338">
        <v>42</v>
      </c>
      <c r="F338">
        <v>105</v>
      </c>
      <c r="G338">
        <v>73</v>
      </c>
      <c r="H338">
        <v>16</v>
      </c>
      <c r="I338">
        <v>4</v>
      </c>
      <c r="J338">
        <v>12</v>
      </c>
      <c r="K338">
        <v>13</v>
      </c>
      <c r="L338">
        <v>5</v>
      </c>
      <c r="M338">
        <v>5</v>
      </c>
      <c r="N338">
        <v>4</v>
      </c>
      <c r="O338">
        <v>14260.79</v>
      </c>
      <c r="P338">
        <v>14571.82</v>
      </c>
      <c r="Q338" s="15"/>
    </row>
    <row r="339" spans="1:17" x14ac:dyDescent="0.25">
      <c r="A339">
        <v>2019</v>
      </c>
      <c r="B339">
        <v>2020</v>
      </c>
      <c r="C339" t="s">
        <v>120</v>
      </c>
      <c r="D339">
        <v>43345</v>
      </c>
      <c r="E339">
        <v>43</v>
      </c>
      <c r="F339">
        <v>62</v>
      </c>
      <c r="G339">
        <v>45</v>
      </c>
      <c r="H339">
        <v>10</v>
      </c>
      <c r="I339">
        <v>1</v>
      </c>
      <c r="J339">
        <v>6</v>
      </c>
      <c r="K339">
        <v>7</v>
      </c>
      <c r="L339">
        <v>9</v>
      </c>
      <c r="M339">
        <v>7</v>
      </c>
      <c r="N339">
        <v>7</v>
      </c>
      <c r="O339">
        <v>18818.259999999998</v>
      </c>
      <c r="P339">
        <v>13619.75</v>
      </c>
      <c r="Q339" s="15"/>
    </row>
    <row r="340" spans="1:17" x14ac:dyDescent="0.25">
      <c r="A340">
        <v>2019</v>
      </c>
      <c r="B340">
        <v>2020</v>
      </c>
      <c r="C340" t="s">
        <v>120</v>
      </c>
      <c r="D340">
        <v>43481</v>
      </c>
      <c r="E340">
        <v>43</v>
      </c>
      <c r="F340">
        <v>44</v>
      </c>
      <c r="G340">
        <v>41</v>
      </c>
      <c r="H340">
        <v>2</v>
      </c>
      <c r="I340">
        <v>0</v>
      </c>
      <c r="J340">
        <v>1</v>
      </c>
      <c r="K340">
        <v>2</v>
      </c>
      <c r="L340">
        <v>1</v>
      </c>
      <c r="M340">
        <v>1</v>
      </c>
      <c r="N340">
        <v>0</v>
      </c>
      <c r="O340">
        <v>27192.47</v>
      </c>
      <c r="P340">
        <v>22560.36</v>
      </c>
      <c r="Q340" s="15"/>
    </row>
    <row r="341" spans="1:17" x14ac:dyDescent="0.25">
      <c r="A341">
        <v>2019</v>
      </c>
      <c r="B341">
        <v>2020</v>
      </c>
      <c r="C341" t="s">
        <v>119</v>
      </c>
      <c r="D341">
        <v>42213</v>
      </c>
      <c r="E341">
        <v>42</v>
      </c>
      <c r="F341">
        <v>46</v>
      </c>
      <c r="G341">
        <v>32</v>
      </c>
      <c r="H341">
        <v>11</v>
      </c>
      <c r="I341">
        <v>1</v>
      </c>
      <c r="J341">
        <v>2</v>
      </c>
      <c r="K341">
        <v>2</v>
      </c>
      <c r="L341">
        <v>6</v>
      </c>
      <c r="M341">
        <v>6</v>
      </c>
      <c r="N341">
        <v>6</v>
      </c>
      <c r="O341">
        <v>7321.16</v>
      </c>
      <c r="P341">
        <v>3803.19</v>
      </c>
      <c r="Q341" s="15"/>
    </row>
    <row r="342" spans="1:17" x14ac:dyDescent="0.25">
      <c r="A342">
        <v>2019</v>
      </c>
      <c r="B342">
        <v>2020</v>
      </c>
      <c r="C342" t="s">
        <v>119</v>
      </c>
      <c r="D342">
        <v>42342</v>
      </c>
      <c r="E342">
        <v>42</v>
      </c>
      <c r="F342">
        <v>40</v>
      </c>
      <c r="G342">
        <v>32</v>
      </c>
      <c r="H342">
        <v>5</v>
      </c>
      <c r="I342">
        <v>1</v>
      </c>
      <c r="J342">
        <v>2</v>
      </c>
      <c r="K342">
        <v>2</v>
      </c>
      <c r="L342">
        <v>8</v>
      </c>
      <c r="M342">
        <v>5</v>
      </c>
      <c r="N342">
        <v>5</v>
      </c>
      <c r="O342">
        <v>13444.92</v>
      </c>
      <c r="P342">
        <v>11350.79</v>
      </c>
      <c r="Q342" s="15"/>
    </row>
    <row r="343" spans="1:17" x14ac:dyDescent="0.25">
      <c r="A343">
        <v>2019</v>
      </c>
      <c r="B343">
        <v>2020</v>
      </c>
      <c r="C343" t="s">
        <v>119</v>
      </c>
      <c r="D343">
        <v>42345</v>
      </c>
      <c r="E343">
        <v>42</v>
      </c>
      <c r="F343">
        <v>105</v>
      </c>
      <c r="G343">
        <v>73</v>
      </c>
      <c r="H343">
        <v>18</v>
      </c>
      <c r="I343">
        <v>0</v>
      </c>
      <c r="J343">
        <v>14</v>
      </c>
      <c r="K343">
        <v>11</v>
      </c>
      <c r="L343">
        <v>25</v>
      </c>
      <c r="M343">
        <v>15</v>
      </c>
      <c r="N343">
        <v>15</v>
      </c>
      <c r="O343">
        <v>22079.98</v>
      </c>
      <c r="P343">
        <v>17321.62</v>
      </c>
      <c r="Q343" s="15"/>
    </row>
    <row r="344" spans="1:17" x14ac:dyDescent="0.25">
      <c r="A344">
        <v>2019</v>
      </c>
      <c r="B344">
        <v>2020</v>
      </c>
      <c r="C344" t="s">
        <v>119</v>
      </c>
      <c r="D344">
        <v>43345</v>
      </c>
      <c r="E344">
        <v>43</v>
      </c>
      <c r="F344">
        <v>101</v>
      </c>
      <c r="G344">
        <v>66</v>
      </c>
      <c r="H344">
        <v>20</v>
      </c>
      <c r="I344">
        <v>0</v>
      </c>
      <c r="J344">
        <v>15</v>
      </c>
      <c r="K344">
        <v>8</v>
      </c>
      <c r="L344">
        <v>14</v>
      </c>
      <c r="M344">
        <v>12</v>
      </c>
      <c r="N344">
        <v>12</v>
      </c>
      <c r="O344">
        <v>14972.75</v>
      </c>
      <c r="P344">
        <v>14082.37</v>
      </c>
      <c r="Q344" s="15"/>
    </row>
    <row r="345" spans="1:17" x14ac:dyDescent="0.25">
      <c r="A345">
        <v>2019</v>
      </c>
      <c r="B345">
        <v>2020</v>
      </c>
      <c r="C345" t="s">
        <v>119</v>
      </c>
      <c r="D345">
        <v>47345</v>
      </c>
      <c r="E345">
        <v>47</v>
      </c>
      <c r="F345">
        <v>105</v>
      </c>
      <c r="G345">
        <v>87</v>
      </c>
      <c r="H345">
        <v>8</v>
      </c>
      <c r="I345">
        <v>1</v>
      </c>
      <c r="J345">
        <v>9</v>
      </c>
      <c r="K345">
        <v>9</v>
      </c>
      <c r="L345">
        <v>20</v>
      </c>
      <c r="M345">
        <v>16</v>
      </c>
      <c r="N345">
        <v>15</v>
      </c>
      <c r="O345">
        <v>25293.97</v>
      </c>
      <c r="P345">
        <v>19483.64</v>
      </c>
      <c r="Q345" s="15"/>
    </row>
    <row r="346" spans="1:17" x14ac:dyDescent="0.25">
      <c r="A346">
        <v>2019</v>
      </c>
      <c r="B346">
        <v>2020</v>
      </c>
      <c r="C346" t="s">
        <v>118</v>
      </c>
      <c r="D346">
        <v>43310</v>
      </c>
      <c r="E346">
        <v>43</v>
      </c>
      <c r="F346">
        <v>86</v>
      </c>
      <c r="G346">
        <v>59</v>
      </c>
      <c r="H346">
        <v>8</v>
      </c>
      <c r="I346">
        <v>1</v>
      </c>
      <c r="J346">
        <v>18</v>
      </c>
      <c r="K346">
        <v>17</v>
      </c>
      <c r="L346">
        <v>4</v>
      </c>
      <c r="M346">
        <v>4</v>
      </c>
      <c r="N346">
        <v>4</v>
      </c>
      <c r="O346">
        <v>18217.439999999999</v>
      </c>
      <c r="P346">
        <v>17932.47</v>
      </c>
      <c r="Q346" s="15"/>
    </row>
    <row r="347" spans="1:17" x14ac:dyDescent="0.25">
      <c r="A347">
        <v>2019</v>
      </c>
      <c r="B347">
        <v>2020</v>
      </c>
      <c r="C347" t="s">
        <v>101</v>
      </c>
      <c r="D347">
        <v>41582</v>
      </c>
      <c r="E347">
        <v>41</v>
      </c>
      <c r="F347">
        <v>41</v>
      </c>
      <c r="G347">
        <v>36</v>
      </c>
      <c r="H347">
        <v>3</v>
      </c>
      <c r="I347">
        <v>0</v>
      </c>
      <c r="J347">
        <v>2</v>
      </c>
      <c r="K347">
        <v>0</v>
      </c>
      <c r="L347">
        <v>21</v>
      </c>
      <c r="M347">
        <v>14</v>
      </c>
      <c r="N347">
        <v>13</v>
      </c>
      <c r="O347">
        <v>25089.06</v>
      </c>
      <c r="P347">
        <v>23877.84</v>
      </c>
      <c r="Q347" s="15"/>
    </row>
    <row r="348" spans="1:17" x14ac:dyDescent="0.25">
      <c r="A348">
        <v>2019</v>
      </c>
      <c r="B348">
        <v>2020</v>
      </c>
      <c r="C348" t="s">
        <v>117</v>
      </c>
      <c r="D348">
        <v>41521</v>
      </c>
      <c r="E348">
        <v>41</v>
      </c>
      <c r="F348">
        <v>53</v>
      </c>
      <c r="G348">
        <v>46</v>
      </c>
      <c r="H348">
        <v>6</v>
      </c>
      <c r="I348">
        <v>0</v>
      </c>
      <c r="J348">
        <v>1</v>
      </c>
      <c r="K348">
        <v>0</v>
      </c>
      <c r="L348">
        <v>8</v>
      </c>
      <c r="M348">
        <v>8</v>
      </c>
      <c r="N348">
        <v>7</v>
      </c>
      <c r="O348">
        <v>15292.55</v>
      </c>
      <c r="P348">
        <v>14603.09</v>
      </c>
      <c r="Q348" s="15"/>
    </row>
    <row r="349" spans="1:17" x14ac:dyDescent="0.25">
      <c r="A349">
        <v>2019</v>
      </c>
      <c r="B349">
        <v>2020</v>
      </c>
      <c r="C349" t="s">
        <v>117</v>
      </c>
      <c r="D349">
        <v>41522</v>
      </c>
      <c r="E349">
        <v>41</v>
      </c>
      <c r="F349">
        <v>50</v>
      </c>
      <c r="G349">
        <v>47</v>
      </c>
      <c r="H349">
        <v>3</v>
      </c>
      <c r="I349">
        <v>0</v>
      </c>
      <c r="J349">
        <v>0</v>
      </c>
      <c r="K349">
        <v>0</v>
      </c>
      <c r="L349">
        <v>8</v>
      </c>
      <c r="M349">
        <v>7</v>
      </c>
      <c r="N349">
        <v>7</v>
      </c>
      <c r="O349">
        <v>23151.58</v>
      </c>
      <c r="P349">
        <v>21941.52</v>
      </c>
      <c r="Q349" s="15"/>
    </row>
    <row r="350" spans="1:17" x14ac:dyDescent="0.25">
      <c r="A350">
        <v>2019</v>
      </c>
      <c r="B350">
        <v>2020</v>
      </c>
      <c r="C350" t="s">
        <v>116</v>
      </c>
      <c r="D350">
        <v>41721</v>
      </c>
      <c r="E350">
        <v>41</v>
      </c>
      <c r="F350">
        <v>97</v>
      </c>
      <c r="G350">
        <v>96</v>
      </c>
      <c r="H350">
        <v>1</v>
      </c>
      <c r="I350">
        <v>0</v>
      </c>
      <c r="J350">
        <v>0</v>
      </c>
      <c r="K350">
        <v>3</v>
      </c>
      <c r="L350">
        <v>3</v>
      </c>
      <c r="M350">
        <v>3</v>
      </c>
      <c r="N350">
        <v>2</v>
      </c>
      <c r="O350">
        <v>27602.25</v>
      </c>
      <c r="P350">
        <v>27335.45</v>
      </c>
      <c r="Q350" s="15"/>
    </row>
    <row r="351" spans="1:17" x14ac:dyDescent="0.25">
      <c r="A351">
        <v>2019</v>
      </c>
      <c r="B351">
        <v>2020</v>
      </c>
      <c r="C351" t="s">
        <v>116</v>
      </c>
      <c r="D351">
        <v>41723</v>
      </c>
      <c r="E351">
        <v>41</v>
      </c>
      <c r="F351">
        <v>83</v>
      </c>
      <c r="G351">
        <v>74</v>
      </c>
      <c r="H351">
        <v>8</v>
      </c>
      <c r="I351">
        <v>0</v>
      </c>
      <c r="J351">
        <v>1</v>
      </c>
      <c r="K351">
        <v>2</v>
      </c>
      <c r="L351">
        <v>2</v>
      </c>
      <c r="M351">
        <v>2</v>
      </c>
      <c r="N351">
        <v>1</v>
      </c>
      <c r="O351">
        <v>15619.82</v>
      </c>
      <c r="P351">
        <v>15946.92</v>
      </c>
      <c r="Q351" s="15"/>
    </row>
    <row r="352" spans="1:17" x14ac:dyDescent="0.25">
      <c r="A352">
        <v>2019</v>
      </c>
      <c r="B352">
        <v>2020</v>
      </c>
      <c r="C352" t="s">
        <v>115</v>
      </c>
      <c r="D352">
        <v>41723</v>
      </c>
      <c r="E352">
        <v>41</v>
      </c>
      <c r="F352">
        <v>34</v>
      </c>
      <c r="G352">
        <v>33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12738.43</v>
      </c>
      <c r="P352">
        <v>12069.09</v>
      </c>
      <c r="Q352" s="15"/>
    </row>
    <row r="353" spans="1:17" x14ac:dyDescent="0.25">
      <c r="A353">
        <v>2019</v>
      </c>
      <c r="B353">
        <v>2020</v>
      </c>
      <c r="C353" t="s">
        <v>115</v>
      </c>
      <c r="D353">
        <v>41725</v>
      </c>
      <c r="E353">
        <v>41</v>
      </c>
      <c r="F353">
        <v>118</v>
      </c>
      <c r="G353">
        <v>113</v>
      </c>
      <c r="H353">
        <v>1</v>
      </c>
      <c r="I353">
        <v>0</v>
      </c>
      <c r="J353">
        <v>4</v>
      </c>
      <c r="K353">
        <v>4</v>
      </c>
      <c r="L353">
        <v>4</v>
      </c>
      <c r="M353">
        <v>4</v>
      </c>
      <c r="N353">
        <v>4</v>
      </c>
      <c r="O353">
        <v>16999.009999999998</v>
      </c>
      <c r="P353">
        <v>15972.39</v>
      </c>
      <c r="Q353" s="15"/>
    </row>
    <row r="354" spans="1:17" x14ac:dyDescent="0.25">
      <c r="A354">
        <v>2019</v>
      </c>
      <c r="B354">
        <v>2020</v>
      </c>
      <c r="C354" t="s">
        <v>114</v>
      </c>
      <c r="D354">
        <v>41345</v>
      </c>
      <c r="E354">
        <v>41</v>
      </c>
      <c r="F354">
        <v>79</v>
      </c>
      <c r="G354">
        <v>63</v>
      </c>
      <c r="H354">
        <v>15</v>
      </c>
      <c r="I354">
        <v>0</v>
      </c>
      <c r="J354">
        <v>1</v>
      </c>
      <c r="K354">
        <v>0</v>
      </c>
      <c r="L354">
        <v>6</v>
      </c>
      <c r="M354">
        <v>4</v>
      </c>
      <c r="N354">
        <v>4</v>
      </c>
      <c r="O354">
        <v>8352.2999999999993</v>
      </c>
      <c r="P354">
        <v>7920</v>
      </c>
      <c r="Q354" s="15"/>
    </row>
    <row r="355" spans="1:17" x14ac:dyDescent="0.25">
      <c r="A355">
        <v>2019</v>
      </c>
      <c r="B355">
        <v>2020</v>
      </c>
      <c r="C355" t="s">
        <v>113</v>
      </c>
      <c r="D355">
        <v>41861</v>
      </c>
      <c r="E355">
        <v>41</v>
      </c>
      <c r="F355">
        <v>40</v>
      </c>
      <c r="G355">
        <v>39</v>
      </c>
      <c r="H355">
        <v>1</v>
      </c>
      <c r="I355">
        <v>0</v>
      </c>
      <c r="J355">
        <v>0</v>
      </c>
      <c r="K355">
        <v>0</v>
      </c>
      <c r="L355">
        <v>3</v>
      </c>
      <c r="M355">
        <v>3</v>
      </c>
      <c r="N355">
        <v>3</v>
      </c>
      <c r="O355">
        <v>18903.07</v>
      </c>
      <c r="P355">
        <v>17228.11</v>
      </c>
      <c r="Q355" s="15"/>
    </row>
    <row r="356" spans="1:17" x14ac:dyDescent="0.25">
      <c r="A356">
        <v>2019</v>
      </c>
      <c r="B356">
        <v>2020</v>
      </c>
      <c r="C356" t="s">
        <v>104</v>
      </c>
      <c r="D356">
        <v>41861</v>
      </c>
      <c r="E356">
        <v>41</v>
      </c>
      <c r="F356">
        <v>83</v>
      </c>
      <c r="G356">
        <v>78</v>
      </c>
      <c r="H356">
        <v>5</v>
      </c>
      <c r="I356">
        <v>0</v>
      </c>
      <c r="J356">
        <v>0</v>
      </c>
      <c r="K356">
        <v>0</v>
      </c>
      <c r="L356">
        <v>2</v>
      </c>
      <c r="M356">
        <v>2</v>
      </c>
      <c r="N356">
        <v>2</v>
      </c>
      <c r="O356">
        <v>21192.21</v>
      </c>
      <c r="P356">
        <v>20027.47</v>
      </c>
      <c r="Q356" s="15"/>
    </row>
    <row r="357" spans="1:17" x14ac:dyDescent="0.25">
      <c r="A357">
        <v>2019</v>
      </c>
      <c r="B357">
        <v>2020</v>
      </c>
      <c r="C357" t="s">
        <v>103</v>
      </c>
      <c r="D357">
        <v>41721</v>
      </c>
      <c r="E357">
        <v>41</v>
      </c>
      <c r="F357">
        <v>107</v>
      </c>
      <c r="G357">
        <v>102</v>
      </c>
      <c r="H357">
        <v>4</v>
      </c>
      <c r="I357">
        <v>1</v>
      </c>
      <c r="J357">
        <v>0</v>
      </c>
      <c r="K357">
        <v>2</v>
      </c>
      <c r="L357">
        <v>6</v>
      </c>
      <c r="M357">
        <v>5</v>
      </c>
      <c r="N357">
        <v>4</v>
      </c>
      <c r="O357">
        <v>25868.44</v>
      </c>
      <c r="P357">
        <v>26237.62</v>
      </c>
      <c r="Q357" s="15"/>
    </row>
    <row r="358" spans="1:17" x14ac:dyDescent="0.25">
      <c r="A358">
        <v>2019</v>
      </c>
      <c r="B358">
        <v>2020</v>
      </c>
      <c r="C358" t="s">
        <v>103</v>
      </c>
      <c r="D358">
        <v>41723</v>
      </c>
      <c r="E358">
        <v>41</v>
      </c>
      <c r="F358">
        <v>65</v>
      </c>
      <c r="G358">
        <v>59</v>
      </c>
      <c r="H358">
        <v>3</v>
      </c>
      <c r="I358">
        <v>1</v>
      </c>
      <c r="J358">
        <v>2</v>
      </c>
      <c r="K358">
        <v>1</v>
      </c>
      <c r="L358">
        <v>2</v>
      </c>
      <c r="M358">
        <v>2</v>
      </c>
      <c r="N358">
        <v>2</v>
      </c>
      <c r="O358">
        <v>14912.29</v>
      </c>
      <c r="P358">
        <v>13945.65</v>
      </c>
      <c r="Q358" s="15"/>
    </row>
    <row r="359" spans="1:17" x14ac:dyDescent="0.25">
      <c r="A359">
        <v>2019</v>
      </c>
      <c r="B359">
        <v>2020</v>
      </c>
      <c r="C359" t="s">
        <v>112</v>
      </c>
      <c r="D359">
        <v>41345</v>
      </c>
      <c r="E359">
        <v>41</v>
      </c>
      <c r="F359">
        <v>52</v>
      </c>
      <c r="G359">
        <v>43</v>
      </c>
      <c r="H359">
        <v>7</v>
      </c>
      <c r="I359">
        <v>0</v>
      </c>
      <c r="J359">
        <v>2</v>
      </c>
      <c r="K359">
        <v>0</v>
      </c>
      <c r="L359">
        <v>8</v>
      </c>
      <c r="M359">
        <v>6</v>
      </c>
      <c r="N359">
        <v>6</v>
      </c>
      <c r="O359">
        <v>18085.11</v>
      </c>
      <c r="P359">
        <v>15340.77</v>
      </c>
      <c r="Q359" s="15"/>
    </row>
    <row r="360" spans="1:17" x14ac:dyDescent="0.25">
      <c r="A360">
        <v>2019</v>
      </c>
      <c r="B360">
        <v>2020</v>
      </c>
      <c r="C360" t="s">
        <v>112</v>
      </c>
      <c r="D360">
        <v>41380</v>
      </c>
      <c r="E360">
        <v>41</v>
      </c>
      <c r="F360">
        <v>94</v>
      </c>
      <c r="G360">
        <v>84</v>
      </c>
      <c r="H360">
        <v>9</v>
      </c>
      <c r="I360">
        <v>0</v>
      </c>
      <c r="J360">
        <v>1</v>
      </c>
      <c r="K360">
        <v>0</v>
      </c>
      <c r="L360">
        <v>7</v>
      </c>
      <c r="M360">
        <v>6</v>
      </c>
      <c r="N360">
        <v>5</v>
      </c>
      <c r="O360">
        <v>20511.009999999998</v>
      </c>
      <c r="P360">
        <v>15848.08</v>
      </c>
      <c r="Q360" s="15"/>
    </row>
    <row r="361" spans="1:17" x14ac:dyDescent="0.25">
      <c r="A361">
        <v>2019</v>
      </c>
      <c r="B361">
        <v>2020</v>
      </c>
      <c r="C361" t="s">
        <v>111</v>
      </c>
      <c r="D361">
        <v>41345</v>
      </c>
      <c r="E361">
        <v>41</v>
      </c>
      <c r="F361">
        <v>75</v>
      </c>
      <c r="G361">
        <v>66</v>
      </c>
      <c r="H361">
        <v>8</v>
      </c>
      <c r="I361">
        <v>0</v>
      </c>
      <c r="J361">
        <v>1</v>
      </c>
      <c r="K361">
        <v>0</v>
      </c>
      <c r="L361">
        <v>5</v>
      </c>
      <c r="M361">
        <v>5</v>
      </c>
      <c r="N361">
        <v>5</v>
      </c>
      <c r="O361">
        <v>15560.79</v>
      </c>
      <c r="P361">
        <v>14861.38</v>
      </c>
      <c r="Q361" s="15"/>
    </row>
    <row r="362" spans="1:17" x14ac:dyDescent="0.25">
      <c r="A362">
        <v>2019</v>
      </c>
      <c r="B362">
        <v>2020</v>
      </c>
      <c r="C362" t="s">
        <v>110</v>
      </c>
      <c r="D362">
        <v>41345</v>
      </c>
      <c r="E362">
        <v>41</v>
      </c>
      <c r="F362">
        <v>97</v>
      </c>
      <c r="G362">
        <v>64</v>
      </c>
      <c r="H362">
        <v>20</v>
      </c>
      <c r="I362">
        <v>0</v>
      </c>
      <c r="J362">
        <v>13</v>
      </c>
      <c r="K362">
        <v>0</v>
      </c>
      <c r="L362">
        <v>13</v>
      </c>
      <c r="M362">
        <v>12</v>
      </c>
      <c r="N362">
        <v>8</v>
      </c>
      <c r="O362">
        <v>16152.81</v>
      </c>
      <c r="P362">
        <v>14911.59</v>
      </c>
      <c r="Q362" s="15"/>
    </row>
    <row r="363" spans="1:17" x14ac:dyDescent="0.25">
      <c r="A363">
        <v>2019</v>
      </c>
      <c r="B363">
        <v>2020</v>
      </c>
      <c r="C363" t="s">
        <v>109</v>
      </c>
      <c r="D363">
        <v>41722</v>
      </c>
      <c r="E363">
        <v>41</v>
      </c>
      <c r="F363">
        <v>67</v>
      </c>
      <c r="G363">
        <v>57</v>
      </c>
      <c r="H363">
        <v>6</v>
      </c>
      <c r="I363">
        <v>0</v>
      </c>
      <c r="J363">
        <v>4</v>
      </c>
      <c r="K363">
        <v>1</v>
      </c>
      <c r="L363">
        <v>4</v>
      </c>
      <c r="M363">
        <v>4</v>
      </c>
      <c r="N363">
        <v>3</v>
      </c>
      <c r="O363">
        <v>5381.36</v>
      </c>
      <c r="P363">
        <v>5723.89</v>
      </c>
      <c r="Q363" s="15"/>
    </row>
  </sheetData>
  <sortState xmlns:xlrd2="http://schemas.microsoft.com/office/spreadsheetml/2017/richdata2" ref="A2:P363">
    <sortCondition ref="A2:A36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640A-B2F2-4F96-8489-4AA7F6F412A2}">
  <dimension ref="A1:K11"/>
  <sheetViews>
    <sheetView workbookViewId="0">
      <selection activeCell="I15" sqref="I15"/>
    </sheetView>
  </sheetViews>
  <sheetFormatPr defaultRowHeight="15" x14ac:dyDescent="0.25"/>
  <sheetData>
    <row r="1" spans="1:11" ht="20.25" thickBot="1" x14ac:dyDescent="0.35">
      <c r="A1" s="20" t="s">
        <v>94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6.5" thickTop="1" x14ac:dyDescent="0.25">
      <c r="A2" s="1" t="s">
        <v>84</v>
      </c>
      <c r="B2" s="1"/>
      <c r="C2" s="1"/>
      <c r="D2" s="1"/>
      <c r="E2" s="1"/>
      <c r="F2" s="1"/>
    </row>
    <row r="3" spans="1:11" ht="15.75" x14ac:dyDescent="0.25">
      <c r="A3" s="1" t="s">
        <v>85</v>
      </c>
      <c r="B3" s="1"/>
      <c r="C3" s="1"/>
      <c r="D3" s="1"/>
      <c r="E3" s="1"/>
      <c r="F3" s="1"/>
    </row>
    <row r="4" spans="1:11" ht="15.75" x14ac:dyDescent="0.25">
      <c r="A4" s="1" t="s">
        <v>86</v>
      </c>
      <c r="B4" s="1"/>
      <c r="C4" s="1"/>
      <c r="D4" s="1"/>
      <c r="E4" s="1"/>
      <c r="F4" s="1"/>
    </row>
    <row r="5" spans="1:11" ht="15.75" x14ac:dyDescent="0.25">
      <c r="A5" s="1" t="s">
        <v>87</v>
      </c>
      <c r="B5" s="1"/>
      <c r="C5" s="1"/>
      <c r="D5" s="1"/>
      <c r="E5" s="1"/>
      <c r="F5" s="1"/>
    </row>
    <row r="6" spans="1:11" ht="15.75" x14ac:dyDescent="0.25">
      <c r="A6" s="1" t="s">
        <v>88</v>
      </c>
      <c r="B6" s="1"/>
      <c r="C6" s="1"/>
      <c r="D6" s="1"/>
      <c r="E6" s="1"/>
      <c r="F6" s="1"/>
    </row>
    <row r="7" spans="1:11" ht="15.75" x14ac:dyDescent="0.25">
      <c r="A7" s="1" t="s">
        <v>89</v>
      </c>
      <c r="B7" s="1"/>
      <c r="C7" s="1"/>
      <c r="D7" s="1"/>
      <c r="E7" s="1"/>
      <c r="F7" s="1"/>
    </row>
    <row r="8" spans="1:11" ht="15.75" x14ac:dyDescent="0.25">
      <c r="A8" s="1" t="s">
        <v>90</v>
      </c>
      <c r="B8" s="1"/>
      <c r="C8" s="1"/>
      <c r="D8" s="1"/>
      <c r="E8" s="1"/>
      <c r="F8" s="1"/>
    </row>
    <row r="9" spans="1:11" ht="15.75" x14ac:dyDescent="0.25">
      <c r="A9" s="1" t="s">
        <v>91</v>
      </c>
      <c r="B9" s="1"/>
      <c r="C9" s="1"/>
      <c r="D9" s="1"/>
      <c r="E9" s="1"/>
      <c r="F9" s="1"/>
    </row>
    <row r="10" spans="1:11" ht="15.75" x14ac:dyDescent="0.25">
      <c r="A10" s="1" t="s">
        <v>92</v>
      </c>
      <c r="B10" s="1"/>
      <c r="C10" s="1"/>
      <c r="D10" s="1"/>
      <c r="E10" s="1"/>
      <c r="F10" s="1"/>
    </row>
    <row r="11" spans="1:11" ht="15.75" x14ac:dyDescent="0.25">
      <c r="A11" s="1" t="s">
        <v>93</v>
      </c>
      <c r="B11" s="1"/>
      <c r="C11" s="1"/>
      <c r="D11" s="1"/>
      <c r="E11" s="1"/>
      <c r="F11" s="1"/>
    </row>
  </sheetData>
  <mergeCells count="1">
    <mergeCell ref="A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f5f8f8-bb2a-4499-90e9-faf1832ed5e4">
      <Terms xmlns="http://schemas.microsoft.com/office/infopath/2007/PartnerControls"/>
    </lcf76f155ced4ddcb4097134ff3c332f>
    <TaxCatchAll xmlns="4a26cdbb-4f3c-48b1-a015-482c2d0eee8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A93FE16A581542AB10E82494AE1102" ma:contentTypeVersion="11" ma:contentTypeDescription="Create a new document." ma:contentTypeScope="" ma:versionID="a49f1e4add78747c7a92a892a88402a3">
  <xsd:schema xmlns:xsd="http://www.w3.org/2001/XMLSchema" xmlns:xs="http://www.w3.org/2001/XMLSchema" xmlns:p="http://schemas.microsoft.com/office/2006/metadata/properties" xmlns:ns2="fbf5f8f8-bb2a-4499-90e9-faf1832ed5e4" xmlns:ns3="4a26cdbb-4f3c-48b1-a015-482c2d0eee8f" targetNamespace="http://schemas.microsoft.com/office/2006/metadata/properties" ma:root="true" ma:fieldsID="67c70bde2590c8b2e36b4253318918af" ns2:_="" ns3:_="">
    <xsd:import namespace="fbf5f8f8-bb2a-4499-90e9-faf1832ed5e4"/>
    <xsd:import namespace="4a26cdbb-4f3c-48b1-a015-482c2d0eee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f8f8-bb2a-4499-90e9-faf1832ed5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6cdbb-4f3c-48b1-a015-482c2d0eee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d980c70-d07d-4ec6-84d7-8a94e3ec7df3}" ma:internalName="TaxCatchAll" ma:showField="CatchAllData" ma:web="4a26cdbb-4f3c-48b1-a015-482c2d0eee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17549A-B3C9-4711-8FA3-6A38CA4FE2C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E821801-7FA8-4E83-9A18-26B161F25A9D}">
  <ds:schemaRefs>
    <ds:schemaRef ds:uri="http://schemas.microsoft.com/office/2006/metadata/properties"/>
    <ds:schemaRef ds:uri="http://schemas.microsoft.com/office/infopath/2007/PartnerControls"/>
    <ds:schemaRef ds:uri="5b740472-bfc1-43b7-972b-4f590840dc97"/>
    <ds:schemaRef ds:uri="6b45cbd3-b529-49f9-89db-ff326b7102a5"/>
  </ds:schemaRefs>
</ds:datastoreItem>
</file>

<file path=customXml/itemProps3.xml><?xml version="1.0" encoding="utf-8"?>
<ds:datastoreItem xmlns:ds="http://schemas.openxmlformats.org/officeDocument/2006/customXml" ds:itemID="{BB3B66F2-718A-4953-8D57-8E0284EFB549}"/>
</file>

<file path=customXml/itemProps4.xml><?xml version="1.0" encoding="utf-8"?>
<ds:datastoreItem xmlns:ds="http://schemas.openxmlformats.org/officeDocument/2006/customXml" ds:itemID="{0E67036F-83D5-471F-B678-1F89B08C64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Imports</vt:lpstr>
      <vt:lpstr>Pivot</vt:lpstr>
      <vt:lpstr>Uzdevumi1</vt:lpstr>
      <vt:lpstr>Uzdevumi2</vt:lpstr>
      <vt:lpstr>Korelācija</vt:lpstr>
      <vt:lpstr>Augstskolas</vt:lpstr>
      <vt:lpstr>Uzdevumi3</vt:lpstr>
    </vt:vector>
  </TitlesOfParts>
  <Company>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 Lūse</dc:creator>
  <cp:lastModifiedBy>Aija Lūse</cp:lastModifiedBy>
  <dcterms:created xsi:type="dcterms:W3CDTF">2019-10-09T10:12:38Z</dcterms:created>
  <dcterms:modified xsi:type="dcterms:W3CDTF">2025-01-08T16:24:57Z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0x01010073A93FE16A581542AB10E82494AE1102</vt:lpwstr>
  </property>
  <property fmtid="{D5CDD505-2E9C-101B-9397-08002B2CF9AE}" pid="3" name="MediaServiceImageTags">
    <vt:lpwstr/>
  </property>
</Properties>
</file>